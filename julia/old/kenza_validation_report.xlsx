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  <sheet xmlns:r="http://schemas.openxmlformats.org/officeDocument/2006/relationships" name="kenza" sheetId="2" state="visible" r:id="rId2"/>
    <sheet xmlns:r="http://schemas.openxmlformats.org/officeDocument/2006/relationships" name="kenza_simplifie" sheetId="3" state="visible" r:id="rId3"/>
    <sheet xmlns:r="http://schemas.openxmlformats.org/officeDocument/2006/relationships" name="kenza_simplifie_combine" sheetId="4" state="visible" r:id="rId4"/>
    <sheet xmlns:r="http://schemas.openxmlformats.org/officeDocument/2006/relationships" name="kenza_simplifie_indexe" sheetId="5" state="visible" r:id="rId5"/>
    <sheet xmlns:r="http://schemas.openxmlformats.org/officeDocument/2006/relationships" name="kenza_index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Modele : kenza</a:t>
            </a:r>
          </a:p>
        </rich>
      </tx>
    </title>
    <plotArea>
      <lineChart>
        <grouping val="standard"/>
        <ser>
          <idx val="0"/>
          <order val="0"/>
          <tx>
            <strRef>
              <f>'kenza'!B1</f>
            </strRef>
          </tx>
          <spPr>
            <a:ln xmlns:a="http://schemas.openxmlformats.org/drawingml/2006/main" w="25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'kenza'!$A$2:$A$47</f>
            </numRef>
          </cat>
          <val>
            <numRef>
              <f>'kenza'!$B$2:$B$47</f>
            </numRef>
          </val>
        </ser>
        <ser>
          <idx val="1"/>
          <order val="1"/>
          <tx>
            <strRef>
              <f>'kenza'!C1</f>
            </strRef>
          </tx>
          <spPr>
            <a:ln xmlns:a="http://schemas.openxmlformats.org/drawingml/2006/main" w="25000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'kenza'!$A$2:$A$47</f>
            </numRef>
          </cat>
          <val>
            <numRef>
              <f>'kenza'!$C$2:$C$47</f>
            </numRef>
          </val>
        </ser>
        <ser>
          <idx val="2"/>
          <order val="2"/>
          <tx>
            <strRef>
              <f>'kenza'!D1</f>
            </strRef>
          </tx>
          <spPr>
            <a:ln xmlns:a="http://schemas.openxmlformats.org/drawingml/2006/main" w="25000">
              <a:solidFill>
                <a:srgbClr val="D62728"/>
              </a:solidFill>
              <a:prstDash val="dash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'kenza'!$A$2:$A$47</f>
            </numRef>
          </cat>
          <val>
            <numRef>
              <f>'kenza'!$D$2:$D$47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 (millions)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Erreur absolue : kenza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'kenza'!E1</f>
            </strRef>
          </tx>
          <spPr>
            <a:solidFill xmlns:a="http://schemas.openxmlformats.org/drawingml/2006/main">
              <a:srgbClr val="F28E2B"/>
            </a:solidFill>
            <a:ln xmlns:a="http://schemas.openxmlformats.org/drawingml/2006/main">
              <a:solidFill>
                <a:srgbClr val="F28E2B"/>
              </a:solidFill>
              <a:prstDash val="solid"/>
            </a:ln>
          </spPr>
          <cat>
            <numRef>
              <f>'kenza'!$A$2:$A$47</f>
            </numRef>
          </cat>
          <val>
            <numRef>
              <f>'kenza'!$E$2:$E$47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abs_error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Modele : kenza_simplifie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'kenza_simplifie'!B1</f>
            </strRef>
          </tx>
          <spPr>
            <a:ln xmlns:a="http://schemas.openxmlformats.org/drawingml/2006/main" w="25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'kenza_simplifie'!$A$2:$A$47</f>
            </numRef>
          </cat>
          <val>
            <numRef>
              <f>'kenza_simplifie'!$B$2:$B$47</f>
            </numRef>
          </val>
        </ser>
        <ser>
          <idx val="1"/>
          <order val="1"/>
          <tx>
            <strRef>
              <f>'kenza_simplifie'!C1</f>
            </strRef>
          </tx>
          <spPr>
            <a:ln xmlns:a="http://schemas.openxmlformats.org/drawingml/2006/main" w="25000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'kenza_simplifie'!$A$2:$A$47</f>
            </numRef>
          </cat>
          <val>
            <numRef>
              <f>'kenza_simplifie'!$C$2:$C$47</f>
            </numRef>
          </val>
        </ser>
        <ser>
          <idx val="2"/>
          <order val="2"/>
          <tx>
            <strRef>
              <f>'kenza_simplifie'!D1</f>
            </strRef>
          </tx>
          <spPr>
            <a:ln xmlns:a="http://schemas.openxmlformats.org/drawingml/2006/main" w="25000">
              <a:solidFill>
                <a:srgbClr val="D62728"/>
              </a:solidFill>
              <a:prstDash val="dash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'kenza_simplifie'!$A$2:$A$47</f>
            </numRef>
          </cat>
          <val>
            <numRef>
              <f>'kenza_simplifie'!$D$2:$D$47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 (millions)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Erreur absolue : kenza_simplifie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'kenza_simplifie'!E1</f>
            </strRef>
          </tx>
          <spPr>
            <a:solidFill xmlns:a="http://schemas.openxmlformats.org/drawingml/2006/main">
              <a:srgbClr val="F28E2B"/>
            </a:solidFill>
            <a:ln xmlns:a="http://schemas.openxmlformats.org/drawingml/2006/main">
              <a:solidFill>
                <a:srgbClr val="F28E2B"/>
              </a:solidFill>
              <a:prstDash val="solid"/>
            </a:ln>
          </spPr>
          <cat>
            <numRef>
              <f>'kenza_simplifie'!$A$2:$A$47</f>
            </numRef>
          </cat>
          <val>
            <numRef>
              <f>'kenza_simplifie'!$E$2:$E$47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abs_error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Modele : kenza_simplifie_combine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'kenza_simplifie_combine'!B1</f>
            </strRef>
          </tx>
          <spPr>
            <a:ln xmlns:a="http://schemas.openxmlformats.org/drawingml/2006/main" w="25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'kenza_simplifie_combine'!$A$2:$A$47</f>
            </numRef>
          </cat>
          <val>
            <numRef>
              <f>'kenza_simplifie_combine'!$B$2:$B$47</f>
            </numRef>
          </val>
        </ser>
        <ser>
          <idx val="1"/>
          <order val="1"/>
          <tx>
            <strRef>
              <f>'kenza_simplifie_combine'!C1</f>
            </strRef>
          </tx>
          <spPr>
            <a:ln xmlns:a="http://schemas.openxmlformats.org/drawingml/2006/main" w="25000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'kenza_simplifie_combine'!$A$2:$A$47</f>
            </numRef>
          </cat>
          <val>
            <numRef>
              <f>'kenza_simplifie_combine'!$C$2:$C$47</f>
            </numRef>
          </val>
        </ser>
        <ser>
          <idx val="2"/>
          <order val="2"/>
          <tx>
            <strRef>
              <f>'kenza_simplifie_combine'!D1</f>
            </strRef>
          </tx>
          <spPr>
            <a:ln xmlns:a="http://schemas.openxmlformats.org/drawingml/2006/main" w="25000">
              <a:solidFill>
                <a:srgbClr val="D62728"/>
              </a:solidFill>
              <a:prstDash val="dash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'kenza_simplifie_combine'!$A$2:$A$47</f>
            </numRef>
          </cat>
          <val>
            <numRef>
              <f>'kenza_simplifie_combine'!$D$2:$D$47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 (millions)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Erreur absolue : kenza_simplifie_combine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'kenza_simplifie_combine'!E1</f>
            </strRef>
          </tx>
          <spPr>
            <a:solidFill xmlns:a="http://schemas.openxmlformats.org/drawingml/2006/main">
              <a:srgbClr val="F28E2B"/>
            </a:solidFill>
            <a:ln xmlns:a="http://schemas.openxmlformats.org/drawingml/2006/main">
              <a:solidFill>
                <a:srgbClr val="F28E2B"/>
              </a:solidFill>
              <a:prstDash val="solid"/>
            </a:ln>
          </spPr>
          <cat>
            <numRef>
              <f>'kenza_simplifie_combine'!$A$2:$A$47</f>
            </numRef>
          </cat>
          <val>
            <numRef>
              <f>'kenza_simplifie_combine'!$E$2:$E$47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abs_error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Modele : kenza_simplifie_indexe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'kenza_simplifie_indexe'!B1</f>
            </strRef>
          </tx>
          <spPr>
            <a:ln xmlns:a="http://schemas.openxmlformats.org/drawingml/2006/main" w="25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'kenza_simplifie_indexe'!$A$2:$A$47</f>
            </numRef>
          </cat>
          <val>
            <numRef>
              <f>'kenza_simplifie_indexe'!$B$2:$B$47</f>
            </numRef>
          </val>
        </ser>
        <ser>
          <idx val="1"/>
          <order val="1"/>
          <tx>
            <strRef>
              <f>'kenza_simplifie_indexe'!C1</f>
            </strRef>
          </tx>
          <spPr>
            <a:ln xmlns:a="http://schemas.openxmlformats.org/drawingml/2006/main" w="25000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'kenza_simplifie_indexe'!$A$2:$A$47</f>
            </numRef>
          </cat>
          <val>
            <numRef>
              <f>'kenza_simplifie_indexe'!$C$2:$C$47</f>
            </numRef>
          </val>
        </ser>
        <ser>
          <idx val="2"/>
          <order val="2"/>
          <tx>
            <strRef>
              <f>'kenza_simplifie_indexe'!D1</f>
            </strRef>
          </tx>
          <spPr>
            <a:ln xmlns:a="http://schemas.openxmlformats.org/drawingml/2006/main" w="25000">
              <a:solidFill>
                <a:srgbClr val="D62728"/>
              </a:solidFill>
              <a:prstDash val="dash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'kenza_simplifie_indexe'!$A$2:$A$47</f>
            </numRef>
          </cat>
          <val>
            <numRef>
              <f>'kenza_simplifie_indexe'!$D$2:$D$47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 (millions)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Erreur absolue : kenza_simplifie_indexe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'kenza_simplifie_indexe'!E1</f>
            </strRef>
          </tx>
          <spPr>
            <a:solidFill xmlns:a="http://schemas.openxmlformats.org/drawingml/2006/main">
              <a:srgbClr val="F28E2B"/>
            </a:solidFill>
            <a:ln xmlns:a="http://schemas.openxmlformats.org/drawingml/2006/main">
              <a:solidFill>
                <a:srgbClr val="F28E2B"/>
              </a:solidFill>
              <a:prstDash val="solid"/>
            </a:ln>
          </spPr>
          <cat>
            <numRef>
              <f>'kenza_simplifie_indexe'!$A$2:$A$47</f>
            </numRef>
          </cat>
          <val>
            <numRef>
              <f>'kenza_simplifie_indexe'!$E$2:$E$47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abs_error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Modele : kenza_indexed</a:t>
            </a:r>
          </a:p>
        </rich>
      </tx>
    </title>
    <plotArea>
      <lineChart>
        <grouping val="standard"/>
        <ser>
          <idx val="0"/>
          <order val="0"/>
          <tx>
            <strRef>
              <f>'kenza_indexed'!B1</f>
            </strRef>
          </tx>
          <spPr>
            <a:ln xmlns:a="http://schemas.openxmlformats.org/drawingml/2006/main" w="25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'kenza_indexed'!$A$2:$A$47</f>
            </numRef>
          </cat>
          <val>
            <numRef>
              <f>'kenza_indexed'!$B$2:$B$47</f>
            </numRef>
          </val>
        </ser>
        <ser>
          <idx val="1"/>
          <order val="1"/>
          <tx>
            <strRef>
              <f>'kenza_indexed'!C1</f>
            </strRef>
          </tx>
          <spPr>
            <a:ln xmlns:a="http://schemas.openxmlformats.org/drawingml/2006/main" w="25000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'kenza_indexed'!$A$2:$A$47</f>
            </numRef>
          </cat>
          <val>
            <numRef>
              <f>'kenza_indexed'!$C$2:$C$47</f>
            </numRef>
          </val>
        </ser>
        <ser>
          <idx val="2"/>
          <order val="2"/>
          <tx>
            <strRef>
              <f>'kenza_indexed'!D1</f>
            </strRef>
          </tx>
          <spPr>
            <a:ln xmlns:a="http://schemas.openxmlformats.org/drawingml/2006/main" w="25000">
              <a:solidFill>
                <a:srgbClr val="D62728"/>
              </a:solidFill>
              <a:prstDash val="dash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'kenza_indexed'!$A$2:$A$47</f>
            </numRef>
          </cat>
          <val>
            <numRef>
              <f>'kenza_indexed'!$D$2:$D$47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 (millions)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Erreur absolue : kenza_indexed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'kenza_indexed'!E1</f>
            </strRef>
          </tx>
          <spPr>
            <a:solidFill xmlns:a="http://schemas.openxmlformats.org/drawingml/2006/main">
              <a:srgbClr val="F28E2B"/>
            </a:solidFill>
            <a:ln xmlns:a="http://schemas.openxmlformats.org/drawingml/2006/main">
              <a:solidFill>
                <a:srgbClr val="F28E2B"/>
              </a:solidFill>
              <a:prstDash val="solid"/>
            </a:ln>
          </spPr>
          <cat>
            <numRef>
              <f>'kenza_indexed'!$A$2:$A$47</f>
            </numRef>
          </cat>
          <val>
            <numRef>
              <f>'kenza_indexed'!$E$2:$E$47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abs_error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julia_prediction</t>
        </is>
      </c>
      <c r="C1" t="inlineStr">
        <is>
          <t>excel_prediction</t>
        </is>
      </c>
      <c r="D1" t="inlineStr">
        <is>
          <t>model</t>
        </is>
      </c>
      <c r="E1" t="inlineStr">
        <is>
          <t>excel_column</t>
        </is>
      </c>
      <c r="F1" t="inlineStr">
        <is>
          <t>error</t>
        </is>
      </c>
      <c r="G1" t="inlineStr">
        <is>
          <t>abs_error</t>
        </is>
      </c>
      <c r="H1" t="inlineStr">
        <is>
          <t>pct_error</t>
        </is>
      </c>
    </row>
    <row r="2">
      <c r="A2" t="n">
        <v>2018</v>
      </c>
      <c r="B2" t="n">
        <v>29.59355076797288</v>
      </c>
      <c r="C2" t="n">
        <v>29.6390818</v>
      </c>
      <c r="D2" t="inlineStr">
        <is>
          <t>kenza</t>
        </is>
      </c>
      <c r="E2" t="inlineStr">
        <is>
          <t>excel_full_forecast</t>
        </is>
      </c>
      <c r="F2" t="n">
        <v>-0.0455310320271209</v>
      </c>
      <c r="G2" t="n">
        <v>0.0455310320271209</v>
      </c>
      <c r="H2" t="n">
        <v>-0.1536182272256522</v>
      </c>
    </row>
    <row r="3">
      <c r="A3" t="n">
        <v>2019</v>
      </c>
      <c r="B3" t="n">
        <v>29.93756643116372</v>
      </c>
      <c r="C3" t="n">
        <v>29.96535637</v>
      </c>
      <c r="D3" t="inlineStr">
        <is>
          <t>kenza</t>
        </is>
      </c>
      <c r="E3" t="inlineStr">
        <is>
          <t>excel_full_forecast</t>
        </is>
      </c>
      <c r="F3" t="n">
        <v>-0.0277899388362818</v>
      </c>
      <c r="G3" t="n">
        <v>0.0277899388362818</v>
      </c>
      <c r="H3" t="n">
        <v>-0.0927402247219858</v>
      </c>
    </row>
    <row r="4">
      <c r="A4" t="n">
        <v>2020</v>
      </c>
      <c r="B4" t="n">
        <v>30.2849752535383</v>
      </c>
      <c r="C4" t="n">
        <v>30.28494709</v>
      </c>
      <c r="D4" t="inlineStr">
        <is>
          <t>kenza</t>
        </is>
      </c>
      <c r="E4" t="inlineStr">
        <is>
          <t>excel_full_forecast</t>
        </is>
      </c>
      <c r="F4" t="n">
        <v>2.816353830681351e-05</v>
      </c>
      <c r="G4" t="n">
        <v>2.816353830681351e-05</v>
      </c>
      <c r="H4" t="n">
        <v>9.29951709115352e-05</v>
      </c>
    </row>
    <row r="5">
      <c r="A5" t="n">
        <v>2021</v>
      </c>
      <c r="B5" t="n">
        <v>30.63581120270469</v>
      </c>
      <c r="C5" t="n">
        <v>30.60169877</v>
      </c>
      <c r="D5" t="inlineStr">
        <is>
          <t>kenza</t>
        </is>
      </c>
      <c r="E5" t="inlineStr">
        <is>
          <t>excel_full_forecast</t>
        </is>
      </c>
      <c r="F5" t="n">
        <v>0.0341124327046955</v>
      </c>
      <c r="G5" t="n">
        <v>0.0341124327046955</v>
      </c>
      <c r="H5" t="n">
        <v>0.1114723498230668</v>
      </c>
    </row>
    <row r="6">
      <c r="A6" t="n">
        <v>2022</v>
      </c>
      <c r="B6" t="n">
        <v>30.99010860527187</v>
      </c>
      <c r="C6" t="n">
        <v>30.91626001</v>
      </c>
      <c r="D6" t="inlineStr">
        <is>
          <t>kenza</t>
        </is>
      </c>
      <c r="E6" t="inlineStr">
        <is>
          <t>excel_full_forecast</t>
        </is>
      </c>
      <c r="F6" t="n">
        <v>0.07384859527187609</v>
      </c>
      <c r="G6" t="n">
        <v>0.07384859527187609</v>
      </c>
      <c r="H6" t="n">
        <v>0.2388665228199966</v>
      </c>
    </row>
    <row r="7">
      <c r="A7" t="n">
        <v>2023</v>
      </c>
      <c r="B7" t="n">
        <v>31.34790215000652</v>
      </c>
      <c r="C7" t="n">
        <v>31.22901713</v>
      </c>
      <c r="D7" t="inlineStr">
        <is>
          <t>kenza</t>
        </is>
      </c>
      <c r="E7" t="inlineStr">
        <is>
          <t>excel_full_forecast</t>
        </is>
      </c>
      <c r="F7" t="n">
        <v>0.1188850200065232</v>
      </c>
      <c r="G7" t="n">
        <v>0.1188850200065232</v>
      </c>
      <c r="H7" t="n">
        <v>0.3806876774623718</v>
      </c>
    </row>
    <row r="8">
      <c r="A8" t="n">
        <v>2024</v>
      </c>
      <c r="B8" t="n">
        <v>31.70922689102822</v>
      </c>
      <c r="C8" t="n">
        <v>31.53970086</v>
      </c>
      <c r="D8" t="inlineStr">
        <is>
          <t>kenza</t>
        </is>
      </c>
      <c r="E8" t="inlineStr">
        <is>
          <t>excel_full_forecast</t>
        </is>
      </c>
      <c r="F8" t="n">
        <v>0.1695260310282229</v>
      </c>
      <c r="G8" t="n">
        <v>0.1695260310282229</v>
      </c>
      <c r="H8" t="n">
        <v>0.5375004404154737</v>
      </c>
    </row>
    <row r="9">
      <c r="A9" t="n">
        <v>2025</v>
      </c>
      <c r="B9" t="n">
        <v>32.07411825104386</v>
      </c>
      <c r="C9" t="n">
        <v>31.8481962</v>
      </c>
      <c r="D9" t="inlineStr">
        <is>
          <t>kenza</t>
        </is>
      </c>
      <c r="E9" t="inlineStr">
        <is>
          <t>excel_full_forecast</t>
        </is>
      </c>
      <c r="F9" t="n">
        <v>0.2259220510438631</v>
      </c>
      <c r="G9" t="n">
        <v>0.2259220510438631</v>
      </c>
      <c r="H9" t="n">
        <v>0.7093715751596101</v>
      </c>
    </row>
    <row r="10">
      <c r="A10" t="n">
        <v>2026</v>
      </c>
      <c r="B10" t="n">
        <v>32.44261202462121</v>
      </c>
      <c r="C10" t="n">
        <v>32.15527112</v>
      </c>
      <c r="D10" t="inlineStr">
        <is>
          <t>kenza</t>
        </is>
      </c>
      <c r="E10" t="inlineStr">
        <is>
          <t>excel_full_forecast</t>
        </is>
      </c>
      <c r="F10" t="n">
        <v>0.2873409046212032</v>
      </c>
      <c r="G10" t="n">
        <v>0.2873409046212032</v>
      </c>
      <c r="H10" t="n">
        <v>0.8936043597607308</v>
      </c>
    </row>
    <row r="11">
      <c r="A11" t="n">
        <v>2027</v>
      </c>
      <c r="B11" t="n">
        <v>32.81474438150235</v>
      </c>
      <c r="C11" t="n">
        <v>32.46069268</v>
      </c>
      <c r="D11" t="inlineStr">
        <is>
          <t>kenza</t>
        </is>
      </c>
      <c r="E11" t="inlineStr">
        <is>
          <t>excel_full_forecast</t>
        </is>
      </c>
      <c r="F11" t="n">
        <v>0.3540517015023496</v>
      </c>
      <c r="G11" t="n">
        <v>0.3540517015023496</v>
      </c>
      <c r="H11" t="n">
        <v>1.090709015339317</v>
      </c>
    </row>
    <row r="12">
      <c r="A12" t="n">
        <v>2028</v>
      </c>
      <c r="B12" t="n">
        <v>33.19055186995724</v>
      </c>
      <c r="C12" t="n">
        <v>32.76372773</v>
      </c>
      <c r="D12" t="inlineStr">
        <is>
          <t>kenza</t>
        </is>
      </c>
      <c r="E12" t="inlineStr">
        <is>
          <t>excel_full_forecast</t>
        </is>
      </c>
      <c r="F12" t="n">
        <v>0.4268241399572403</v>
      </c>
      <c r="G12" t="n">
        <v>0.4268241399572403</v>
      </c>
      <c r="H12" t="n">
        <v>1.302733753236572</v>
      </c>
    </row>
    <row r="13">
      <c r="A13" t="n">
        <v>2029</v>
      </c>
      <c r="B13" t="n">
        <v>33.5700714201777</v>
      </c>
      <c r="C13" t="n">
        <v>33.06402176</v>
      </c>
      <c r="D13" t="inlineStr">
        <is>
          <t>kenza</t>
        </is>
      </c>
      <c r="E13" t="inlineStr">
        <is>
          <t>excel_full_forecast</t>
        </is>
      </c>
      <c r="F13" t="n">
        <v>0.5060496601776947</v>
      </c>
      <c r="G13" t="n">
        <v>0.5060496601776947</v>
      </c>
      <c r="H13" t="n">
        <v>1.530514538887403</v>
      </c>
    </row>
    <row r="14">
      <c r="A14" t="n">
        <v>2030</v>
      </c>
      <c r="B14" t="n">
        <v>33.95334034771232</v>
      </c>
      <c r="C14" t="n">
        <v>33.35978031</v>
      </c>
      <c r="D14" t="inlineStr">
        <is>
          <t>kenza</t>
        </is>
      </c>
      <c r="E14" t="inlineStr">
        <is>
          <t>excel_full_forecast</t>
        </is>
      </c>
      <c r="F14" t="n">
        <v>0.5935600377123222</v>
      </c>
      <c r="G14" t="n">
        <v>0.5935600377123222</v>
      </c>
      <c r="H14" t="n">
        <v>1.779268425021359</v>
      </c>
    </row>
    <row r="15">
      <c r="A15" t="n">
        <v>2031</v>
      </c>
      <c r="B15" t="n">
        <v>34.34039635694257</v>
      </c>
      <c r="C15" t="n">
        <v>33.64841293</v>
      </c>
      <c r="D15" t="inlineStr">
        <is>
          <t>kenza</t>
        </is>
      </c>
      <c r="E15" t="inlineStr">
        <is>
          <t>excel_full_forecast</t>
        </is>
      </c>
      <c r="F15" t="n">
        <v>0.6919834269425706</v>
      </c>
      <c r="G15" t="n">
        <v>0.6919834269425706</v>
      </c>
      <c r="H15" t="n">
        <v>2.056511337940748</v>
      </c>
    </row>
    <row r="16">
      <c r="A16" t="n">
        <v>2032</v>
      </c>
      <c r="B16" t="n">
        <v>34.73127754460057</v>
      </c>
      <c r="C16" t="n">
        <v>33.93347424</v>
      </c>
      <c r="D16" t="inlineStr">
        <is>
          <t>kenza</t>
        </is>
      </c>
      <c r="E16" t="inlineStr">
        <is>
          <t>excel_full_forecast</t>
        </is>
      </c>
      <c r="F16" t="n">
        <v>0.7978033046005706</v>
      </c>
      <c r="G16" t="n">
        <v>0.7978033046005706</v>
      </c>
      <c r="H16" t="n">
        <v>2.351080525848834</v>
      </c>
    </row>
    <row r="17">
      <c r="A17" t="n">
        <v>2033</v>
      </c>
      <c r="B17" t="n">
        <v>35.12602240332878</v>
      </c>
      <c r="C17" t="n">
        <v>34.21562881</v>
      </c>
      <c r="D17" t="inlineStr">
        <is>
          <t>kenza</t>
        </is>
      </c>
      <c r="E17" t="inlineStr">
        <is>
          <t>excel_full_forecast</t>
        </is>
      </c>
      <c r="F17" t="n">
        <v>0.9103935933287772</v>
      </c>
      <c r="G17" t="n">
        <v>0.9103935933287772</v>
      </c>
      <c r="H17" t="n">
        <v>2.660753652619419</v>
      </c>
    </row>
    <row r="18">
      <c r="A18" t="n">
        <v>2034</v>
      </c>
      <c r="B18" t="n">
        <v>35.52466982528207</v>
      </c>
      <c r="C18" t="n">
        <v>34.49507195</v>
      </c>
      <c r="D18" t="inlineStr">
        <is>
          <t>kenza</t>
        </is>
      </c>
      <c r="E18" t="inlineStr">
        <is>
          <t>excel_full_forecast</t>
        </is>
      </c>
      <c r="F18" t="n">
        <v>1.029597875282064</v>
      </c>
      <c r="G18" t="n">
        <v>1.029597875282064</v>
      </c>
      <c r="H18" t="n">
        <v>2.984768017803959</v>
      </c>
    </row>
    <row r="19">
      <c r="A19" t="n">
        <v>2035</v>
      </c>
      <c r="B19" t="n">
        <v>35.92574531778027</v>
      </c>
      <c r="C19" t="n">
        <v>34.77112951</v>
      </c>
      <c r="D19" t="inlineStr">
        <is>
          <t>kenza</t>
        </is>
      </c>
      <c r="E19" t="inlineStr">
        <is>
          <t>excel_full_forecast</t>
        </is>
      </c>
      <c r="F19" t="n">
        <v>1.154615807780267</v>
      </c>
      <c r="G19" t="n">
        <v>1.154615807780267</v>
      </c>
      <c r="H19" t="n">
        <v>3.320616339047041</v>
      </c>
    </row>
    <row r="20">
      <c r="A20" t="n">
        <v>2036</v>
      </c>
      <c r="B20" t="n">
        <v>36.28500277095806</v>
      </c>
      <c r="C20" t="n">
        <v>35.04235483</v>
      </c>
      <c r="D20" t="inlineStr">
        <is>
          <t>kenza</t>
        </is>
      </c>
      <c r="E20" t="inlineStr">
        <is>
          <t>excel_full_forecast</t>
        </is>
      </c>
      <c r="F20" t="n">
        <v>1.242647940958058</v>
      </c>
      <c r="G20" t="n">
        <v>1.242647940958058</v>
      </c>
      <c r="H20" t="n">
        <v>3.546131380115524</v>
      </c>
    </row>
    <row r="21">
      <c r="A21" t="n">
        <v>2037</v>
      </c>
      <c r="B21" t="n">
        <v>36.64785279866765</v>
      </c>
      <c r="C21" t="n">
        <v>35.31070292</v>
      </c>
      <c r="D21" t="inlineStr">
        <is>
          <t>kenza</t>
        </is>
      </c>
      <c r="E21" t="inlineStr">
        <is>
          <t>excel_full_forecast</t>
        </is>
      </c>
      <c r="F21" t="n">
        <v>1.337149878667653</v>
      </c>
      <c r="G21" t="n">
        <v>1.337149878667653</v>
      </c>
      <c r="H21" t="n">
        <v>3.786811839167014</v>
      </c>
    </row>
    <row r="22">
      <c r="A22" t="n">
        <v>2038</v>
      </c>
      <c r="B22" t="n">
        <v>37.01433132665432</v>
      </c>
      <c r="C22" t="n">
        <v>35.57660757</v>
      </c>
      <c r="D22" t="inlineStr">
        <is>
          <t>kenza</t>
        </is>
      </c>
      <c r="E22" t="inlineStr">
        <is>
          <t>excel_full_forecast</t>
        </is>
      </c>
      <c r="F22" t="n">
        <v>1.437723756654322</v>
      </c>
      <c r="G22" t="n">
        <v>1.437723756654322</v>
      </c>
      <c r="H22" t="n">
        <v>4.041205316795532</v>
      </c>
    </row>
    <row r="23">
      <c r="A23" t="n">
        <v>2039</v>
      </c>
      <c r="B23" t="n">
        <v>37.38447463992087</v>
      </c>
      <c r="C23" t="n">
        <v>35.84080332</v>
      </c>
      <c r="D23" t="inlineStr">
        <is>
          <t>kenza</t>
        </is>
      </c>
      <c r="E23" t="inlineStr">
        <is>
          <t>excel_full_forecast</t>
        </is>
      </c>
      <c r="F23" t="n">
        <v>1.543671319920868</v>
      </c>
      <c r="G23" t="n">
        <v>1.543671319920868</v>
      </c>
      <c r="H23" t="n">
        <v>4.307022100309521</v>
      </c>
    </row>
    <row r="24">
      <c r="A24" t="n">
        <v>2040</v>
      </c>
      <c r="B24" t="n">
        <v>37.75831938632008</v>
      </c>
      <c r="C24" t="n">
        <v>36.10358668</v>
      </c>
      <c r="D24" t="inlineStr">
        <is>
          <t>kenza</t>
        </is>
      </c>
      <c r="E24" t="inlineStr">
        <is>
          <t>excel_full_forecast</t>
        </is>
      </c>
      <c r="F24" t="n">
        <v>1.654732706320082</v>
      </c>
      <c r="G24" t="n">
        <v>1.654732706320082</v>
      </c>
      <c r="H24" t="n">
        <v>4.583291740476136</v>
      </c>
    </row>
    <row r="25">
      <c r="A25" t="n">
        <v>2041</v>
      </c>
      <c r="B25" t="n">
        <v>38.13590258018328</v>
      </c>
      <c r="C25" t="n">
        <v>36.36275781</v>
      </c>
      <c r="D25" t="inlineStr">
        <is>
          <t>kenza</t>
        </is>
      </c>
      <c r="E25" t="inlineStr">
        <is>
          <t>excel_full_forecast</t>
        </is>
      </c>
      <c r="F25" t="n">
        <v>1.773144770183279</v>
      </c>
      <c r="G25" t="n">
        <v>1.773144770183279</v>
      </c>
      <c r="H25" t="n">
        <v>4.876265929686039</v>
      </c>
    </row>
    <row r="26">
      <c r="A26" t="n">
        <v>2042</v>
      </c>
      <c r="B26" t="n">
        <v>38.51726160598511</v>
      </c>
      <c r="C26" t="n">
        <v>36.62046617</v>
      </c>
      <c r="D26" t="inlineStr">
        <is>
          <t>kenza</t>
        </is>
      </c>
      <c r="E26" t="inlineStr">
        <is>
          <t>excel_full_forecast</t>
        </is>
      </c>
      <c r="F26" t="n">
        <v>1.896795435985112</v>
      </c>
      <c r="G26" t="n">
        <v>1.896795435985112</v>
      </c>
      <c r="H26" t="n">
        <v>5.179604834028556</v>
      </c>
    </row>
    <row r="27">
      <c r="A27" t="n">
        <v>2043</v>
      </c>
      <c r="B27" t="n">
        <v>38.90243422204496</v>
      </c>
      <c r="C27" t="n">
        <v>36.87658341</v>
      </c>
      <c r="D27" t="inlineStr">
        <is>
          <t>kenza</t>
        </is>
      </c>
      <c r="E27" t="inlineStr">
        <is>
          <t>excel_full_forecast</t>
        </is>
      </c>
      <c r="F27" t="n">
        <v>2.025850812044958</v>
      </c>
      <c r="G27" t="n">
        <v>2.025850812044958</v>
      </c>
      <c r="H27" t="n">
        <v>5.493596815955564</v>
      </c>
    </row>
    <row r="28">
      <c r="A28" t="n">
        <v>2044</v>
      </c>
      <c r="B28" t="n">
        <v>39.2914585642654</v>
      </c>
      <c r="C28" t="n">
        <v>37.13130349</v>
      </c>
      <c r="D28" t="inlineStr">
        <is>
          <t>kenza</t>
        </is>
      </c>
      <c r="E28" t="inlineStr">
        <is>
          <t>excel_full_forecast</t>
        </is>
      </c>
      <c r="F28" t="n">
        <v>2.160155074265404</v>
      </c>
      <c r="G28" t="n">
        <v>2.160155074265404</v>
      </c>
      <c r="H28" t="n">
        <v>5.817611748661517</v>
      </c>
    </row>
    <row r="29">
      <c r="A29" t="n">
        <v>2045</v>
      </c>
      <c r="B29" t="n">
        <v>39.68437314990807</v>
      </c>
      <c r="C29" t="n">
        <v>37.38504915</v>
      </c>
      <c r="D29" t="inlineStr">
        <is>
          <t>kenza</t>
        </is>
      </c>
      <c r="E29" t="inlineStr">
        <is>
          <t>excel_full_forecast</t>
        </is>
      </c>
      <c r="F29" t="n">
        <v>2.299323999908069</v>
      </c>
      <c r="G29" t="n">
        <v>2.299323999908069</v>
      </c>
      <c r="H29" t="n">
        <v>6.150383782250741</v>
      </c>
    </row>
    <row r="30">
      <c r="A30" t="n">
        <v>2046</v>
      </c>
      <c r="B30" t="n">
        <v>40.08121688140715</v>
      </c>
      <c r="C30" t="n">
        <v>37.63807586</v>
      </c>
      <c r="D30" t="inlineStr">
        <is>
          <t>kenza</t>
        </is>
      </c>
      <c r="E30" t="inlineStr">
        <is>
          <t>excel_full_forecast</t>
        </is>
      </c>
      <c r="F30" t="n">
        <v>2.443141021407151</v>
      </c>
      <c r="G30" t="n">
        <v>2.443141021407151</v>
      </c>
      <c r="H30" t="n">
        <v>6.491142189347696</v>
      </c>
    </row>
    <row r="31">
      <c r="A31" t="n">
        <v>2047</v>
      </c>
      <c r="B31" t="n">
        <v>40.48202905022122</v>
      </c>
      <c r="C31" t="n">
        <v>37.89009397</v>
      </c>
      <c r="D31" t="inlineStr">
        <is>
          <t>kenza</t>
        </is>
      </c>
      <c r="E31" t="inlineStr">
        <is>
          <t>excel_full_forecast</t>
        </is>
      </c>
      <c r="F31" t="n">
        <v>2.59193508022122</v>
      </c>
      <c r="G31" t="n">
        <v>2.59193508022122</v>
      </c>
      <c r="H31" t="n">
        <v>6.840666804029093</v>
      </c>
    </row>
    <row r="32">
      <c r="A32" t="n">
        <v>2048</v>
      </c>
      <c r="B32" t="n">
        <v>40.88684934072344</v>
      </c>
      <c r="C32" t="n">
        <v>38.14061152</v>
      </c>
      <c r="D32" t="inlineStr">
        <is>
          <t>kenza</t>
        </is>
      </c>
      <c r="E32" t="inlineStr">
        <is>
          <t>excel_full_forecast</t>
        </is>
      </c>
      <c r="F32" t="n">
        <v>2.746237820723437</v>
      </c>
      <c r="G32" t="n">
        <v>2.746237820723437</v>
      </c>
      <c r="H32" t="n">
        <v>7.200298346772382</v>
      </c>
    </row>
    <row r="33">
      <c r="A33" t="n">
        <v>2049</v>
      </c>
      <c r="B33" t="n">
        <v>41.29571783413066</v>
      </c>
      <c r="C33" t="n">
        <v>38.38980465</v>
      </c>
      <c r="D33" t="inlineStr">
        <is>
          <t>kenza</t>
        </is>
      </c>
      <c r="E33" t="inlineStr">
        <is>
          <t>excel_full_forecast</t>
        </is>
      </c>
      <c r="F33" t="n">
        <v>2.905913184130661</v>
      </c>
      <c r="G33" t="n">
        <v>2.905913184130661</v>
      </c>
      <c r="H33" t="n">
        <v>7.569491980029289</v>
      </c>
    </row>
    <row r="34">
      <c r="A34" t="n">
        <v>2018</v>
      </c>
      <c r="B34" t="n">
        <v>35.21897627781964</v>
      </c>
      <c r="C34" t="n">
        <v>30.59493561</v>
      </c>
      <c r="D34" t="inlineStr">
        <is>
          <t>kenza_simplifie</t>
        </is>
      </c>
      <c r="E34" t="inlineStr">
        <is>
          <t>excel_simplified_forecast</t>
        </is>
      </c>
      <c r="F34" t="n">
        <v>4.624040667819635</v>
      </c>
      <c r="G34" t="n">
        <v>4.624040667819635</v>
      </c>
      <c r="H34" t="n">
        <v>15.11374538179534</v>
      </c>
    </row>
    <row r="35">
      <c r="A35" t="n">
        <v>2019</v>
      </c>
      <c r="B35" t="n">
        <v>35.75418205347747</v>
      </c>
      <c r="C35" t="n">
        <v>31.48642382</v>
      </c>
      <c r="D35" t="inlineStr">
        <is>
          <t>kenza_simplifie</t>
        </is>
      </c>
      <c r="E35" t="inlineStr">
        <is>
          <t>excel_simplified_forecast</t>
        </is>
      </c>
      <c r="F35" t="n">
        <v>4.267758233477473</v>
      </c>
      <c r="G35" t="n">
        <v>4.267758233477473</v>
      </c>
      <c r="H35" t="n">
        <v>13.55428059367802</v>
      </c>
    </row>
    <row r="36">
      <c r="A36" t="n">
        <v>2020</v>
      </c>
      <c r="B36" t="n">
        <v>36.29477542398178</v>
      </c>
      <c r="C36" t="n">
        <v>32.07577992</v>
      </c>
      <c r="D36" t="inlineStr">
        <is>
          <t>kenza_simplifie</t>
        </is>
      </c>
      <c r="E36" t="inlineStr">
        <is>
          <t>excel_simplified_forecast</t>
        </is>
      </c>
      <c r="F36" t="n">
        <v>4.218995503981773</v>
      </c>
      <c r="G36" t="n">
        <v>4.218995503981773</v>
      </c>
      <c r="H36" t="n">
        <v>13.15321253140015</v>
      </c>
    </row>
    <row r="37">
      <c r="A37" t="n">
        <v>2021</v>
      </c>
      <c r="B37" t="n">
        <v>36.8408102721814</v>
      </c>
      <c r="C37" t="n">
        <v>32.73073987</v>
      </c>
      <c r="D37" t="inlineStr">
        <is>
          <t>kenza_simplifie</t>
        </is>
      </c>
      <c r="E37" t="inlineStr">
        <is>
          <t>excel_simplified_forecast</t>
        </is>
      </c>
      <c r="F37" t="n">
        <v>4.1100704021814</v>
      </c>
      <c r="G37" t="n">
        <v>4.1100704021814</v>
      </c>
      <c r="H37" t="n">
        <v>12.55721813349097</v>
      </c>
    </row>
    <row r="38">
      <c r="A38" t="n">
        <v>2022</v>
      </c>
      <c r="B38" t="n">
        <v>37.39234101975506</v>
      </c>
      <c r="C38" t="n">
        <v>33.45657198</v>
      </c>
      <c r="D38" t="inlineStr">
        <is>
          <t>kenza_simplifie</t>
        </is>
      </c>
      <c r="E38" t="inlineStr">
        <is>
          <t>excel_simplified_forecast</t>
        </is>
      </c>
      <c r="F38" t="n">
        <v>3.935769039755058</v>
      </c>
      <c r="G38" t="n">
        <v>3.935769039755058</v>
      </c>
      <c r="H38" t="n">
        <v>11.7638144221943</v>
      </c>
    </row>
    <row r="39">
      <c r="A39" t="n">
        <v>2023</v>
      </c>
      <c r="B39" t="n">
        <v>37.94942263259957</v>
      </c>
      <c r="C39" t="n">
        <v>34.20543838</v>
      </c>
      <c r="D39" t="inlineStr">
        <is>
          <t>kenza_simplifie</t>
        </is>
      </c>
      <c r="E39" t="inlineStr">
        <is>
          <t>excel_simplified_forecast</t>
        </is>
      </c>
      <c r="F39" t="n">
        <v>3.743984252599574</v>
      </c>
      <c r="G39" t="n">
        <v>3.743984252599574</v>
      </c>
      <c r="H39" t="n">
        <v>10.9455818428823</v>
      </c>
    </row>
    <row r="40">
      <c r="A40" t="n">
        <v>2024</v>
      </c>
      <c r="B40" t="n">
        <v>38.51211062627206</v>
      </c>
      <c r="C40" t="n">
        <v>34.96278978</v>
      </c>
      <c r="D40" t="inlineStr">
        <is>
          <t>kenza_simplifie</t>
        </is>
      </c>
      <c r="E40" t="inlineStr">
        <is>
          <t>excel_simplified_forecast</t>
        </is>
      </c>
      <c r="F40" t="n">
        <v>3.54932084627206</v>
      </c>
      <c r="G40" t="n">
        <v>3.54932084627206</v>
      </c>
      <c r="H40" t="n">
        <v>10.15170948487183</v>
      </c>
    </row>
    <row r="41">
      <c r="A41" t="n">
        <v>2025</v>
      </c>
      <c r="B41" t="n">
        <v>39.0804610714866</v>
      </c>
      <c r="C41" t="n">
        <v>35.72979335</v>
      </c>
      <c r="D41" t="inlineStr">
        <is>
          <t>kenza_simplifie</t>
        </is>
      </c>
      <c r="E41" t="inlineStr">
        <is>
          <t>excel_simplified_forecast</t>
        </is>
      </c>
      <c r="F41" t="n">
        <v>3.350667721486602</v>
      </c>
      <c r="G41" t="n">
        <v>3.350667721486602</v>
      </c>
      <c r="H41" t="n">
        <v>9.377797651008809</v>
      </c>
    </row>
    <row r="42">
      <c r="A42" t="n">
        <v>2026</v>
      </c>
      <c r="B42" t="n">
        <v>39.65453059966568</v>
      </c>
      <c r="C42" t="n">
        <v>36.50737913</v>
      </c>
      <c r="D42" t="inlineStr">
        <is>
          <t>kenza_simplifie</t>
        </is>
      </c>
      <c r="E42" t="inlineStr">
        <is>
          <t>excel_simplified_forecast</t>
        </is>
      </c>
      <c r="F42" t="n">
        <v>3.147151469665687</v>
      </c>
      <c r="G42" t="n">
        <v>3.147151469665687</v>
      </c>
      <c r="H42" t="n">
        <v>8.620589986640564</v>
      </c>
    </row>
    <row r="43">
      <c r="A43" t="n">
        <v>2027</v>
      </c>
      <c r="B43" t="n">
        <v>40.23437640854745</v>
      </c>
      <c r="C43" t="n">
        <v>37.2963747</v>
      </c>
      <c r="D43" t="inlineStr">
        <is>
          <t>kenza_simplifie</t>
        </is>
      </c>
      <c r="E43" t="inlineStr">
        <is>
          <t>excel_simplified_forecast</t>
        </is>
      </c>
      <c r="F43" t="n">
        <v>2.938001708547453</v>
      </c>
      <c r="G43" t="n">
        <v>2.938001708547453</v>
      </c>
      <c r="H43" t="n">
        <v>7.877445816596897</v>
      </c>
    </row>
    <row r="44">
      <c r="A44" t="n">
        <v>2028</v>
      </c>
      <c r="B44" t="n">
        <v>40.82005626784866</v>
      </c>
      <c r="C44" t="n">
        <v>38.09291624</v>
      </c>
      <c r="D44" t="inlineStr">
        <is>
          <t>kenza_simplifie</t>
        </is>
      </c>
      <c r="E44" t="inlineStr">
        <is>
          <t>excel_simplified_forecast</t>
        </is>
      </c>
      <c r="F44" t="n">
        <v>2.727140027848662</v>
      </c>
      <c r="G44" t="n">
        <v>2.727140027848662</v>
      </c>
      <c r="H44" t="n">
        <v>7.159178915750721</v>
      </c>
    </row>
    <row r="45">
      <c r="A45" t="n">
        <v>2029</v>
      </c>
      <c r="B45" t="n">
        <v>41.41162852498469</v>
      </c>
      <c r="C45" t="n">
        <v>38.89314279</v>
      </c>
      <c r="D45" t="inlineStr">
        <is>
          <t>kenza_simplifie</t>
        </is>
      </c>
      <c r="E45" t="inlineStr">
        <is>
          <t>excel_simplified_forecast</t>
        </is>
      </c>
      <c r="F45" t="n">
        <v>2.518485734984694</v>
      </c>
      <c r="G45" t="n">
        <v>2.518485734984694</v>
      </c>
      <c r="H45" t="n">
        <v>6.475397857619861</v>
      </c>
    </row>
    <row r="46">
      <c r="A46" t="n">
        <v>2030</v>
      </c>
      <c r="B46" t="n">
        <v>42.00915211084634</v>
      </c>
      <c r="C46" t="n">
        <v>39.6971468</v>
      </c>
      <c r="D46" t="inlineStr">
        <is>
          <t>kenza_simplifie</t>
        </is>
      </c>
      <c r="E46" t="inlineStr">
        <is>
          <t>excel_simplified_forecast</t>
        </is>
      </c>
      <c r="F46" t="n">
        <v>2.312005310846345</v>
      </c>
      <c r="G46" t="n">
        <v>2.312005310846345</v>
      </c>
      <c r="H46" t="n">
        <v>5.824109532341366</v>
      </c>
    </row>
    <row r="47">
      <c r="A47" t="n">
        <v>2031</v>
      </c>
      <c r="B47" t="n">
        <v>42.61268654563469</v>
      </c>
      <c r="C47" t="n">
        <v>40.49290693</v>
      </c>
      <c r="D47" t="inlineStr">
        <is>
          <t>kenza_simplifie</t>
        </is>
      </c>
      <c r="E47" t="inlineStr">
        <is>
          <t>excel_simplified_forecast</t>
        </is>
      </c>
      <c r="F47" t="n">
        <v>2.119779615634698</v>
      </c>
      <c r="G47" t="n">
        <v>2.119779615634698</v>
      </c>
      <c r="H47" t="n">
        <v>5.234940576874752</v>
      </c>
    </row>
    <row r="48">
      <c r="A48" t="n">
        <v>2032</v>
      </c>
      <c r="B48" t="n">
        <v>43.22229194475416</v>
      </c>
      <c r="C48" t="n">
        <v>41.29688804</v>
      </c>
      <c r="D48" t="inlineStr">
        <is>
          <t>kenza_simplifie</t>
        </is>
      </c>
      <c r="E48" t="inlineStr">
        <is>
          <t>excel_simplified_forecast</t>
        </is>
      </c>
      <c r="F48" t="n">
        <v>1.925403904754162</v>
      </c>
      <c r="G48" t="n">
        <v>1.925403904754162</v>
      </c>
      <c r="H48" t="n">
        <v>4.662346235118791</v>
      </c>
    </row>
    <row r="49">
      <c r="A49" t="n">
        <v>2033</v>
      </c>
      <c r="B49" t="n">
        <v>43.83802902476458</v>
      </c>
      <c r="C49" t="n">
        <v>42.10726947</v>
      </c>
      <c r="D49" t="inlineStr">
        <is>
          <t>kenza_simplifie</t>
        </is>
      </c>
      <c r="E49" t="inlineStr">
        <is>
          <t>excel_simplified_forecast</t>
        </is>
      </c>
      <c r="F49" t="n">
        <v>1.730759554764582</v>
      </c>
      <c r="G49" t="n">
        <v>1.730759554764582</v>
      </c>
      <c r="H49" t="n">
        <v>4.110358084362819</v>
      </c>
    </row>
    <row r="50">
      <c r="A50" t="n">
        <v>2034</v>
      </c>
      <c r="B50" t="n">
        <v>44.45995910939267</v>
      </c>
      <c r="C50" t="n">
        <v>42.91390963</v>
      </c>
      <c r="D50" t="inlineStr">
        <is>
          <t>kenza_simplifie</t>
        </is>
      </c>
      <c r="E50" t="inlineStr">
        <is>
          <t>excel_simplified_forecast</t>
        </is>
      </c>
      <c r="F50" t="n">
        <v>1.546049479392671</v>
      </c>
      <c r="G50" t="n">
        <v>1.546049479392671</v>
      </c>
      <c r="H50" t="n">
        <v>3.602676830711943</v>
      </c>
    </row>
    <row r="51">
      <c r="A51" t="n">
        <v>2035</v>
      </c>
      <c r="B51" t="n">
        <v>45.08814413560384</v>
      </c>
      <c r="C51" t="n">
        <v>43.71454572</v>
      </c>
      <c r="D51" t="inlineStr">
        <is>
          <t>kenza_simplifie</t>
        </is>
      </c>
      <c r="E51" t="inlineStr">
        <is>
          <t>excel_simplified_forecast</t>
        </is>
      </c>
      <c r="F51" t="n">
        <v>1.373598415603837</v>
      </c>
      <c r="G51" t="n">
        <v>1.373598415603837</v>
      </c>
      <c r="H51" t="n">
        <v>3.142199908474394</v>
      </c>
    </row>
    <row r="52">
      <c r="A52" t="n">
        <v>2036</v>
      </c>
      <c r="B52" t="n">
        <v>45.72264665973438</v>
      </c>
      <c r="C52" t="n">
        <v>44.50672301</v>
      </c>
      <c r="D52" t="inlineStr">
        <is>
          <t>kenza_simplifie</t>
        </is>
      </c>
      <c r="E52" t="inlineStr">
        <is>
          <t>excel_simplified_forecast</t>
        </is>
      </c>
      <c r="F52" t="n">
        <v>1.215923649734378</v>
      </c>
      <c r="G52" t="n">
        <v>1.215923649734378</v>
      </c>
      <c r="H52" t="n">
        <v>2.731999948549747</v>
      </c>
    </row>
    <row r="53">
      <c r="A53" t="n">
        <v>2037</v>
      </c>
      <c r="B53" t="n">
        <v>46.36352986368543</v>
      </c>
      <c r="C53" t="n">
        <v>45.29153668</v>
      </c>
      <c r="D53" t="inlineStr">
        <is>
          <t>kenza_simplifie</t>
        </is>
      </c>
      <c r="E53" t="inlineStr">
        <is>
          <t>excel_simplified_forecast</t>
        </is>
      </c>
      <c r="F53" t="n">
        <v>1.071993183685429</v>
      </c>
      <c r="G53" t="n">
        <v>1.071993183685429</v>
      </c>
      <c r="H53" t="n">
        <v>2.36687306783036</v>
      </c>
    </row>
    <row r="54">
      <c r="A54" t="n">
        <v>2038</v>
      </c>
      <c r="B54" t="n">
        <v>47.01085756117838</v>
      </c>
      <c r="C54" t="n">
        <v>46.06896704</v>
      </c>
      <c r="D54" t="inlineStr">
        <is>
          <t>kenza_simplifie</t>
        </is>
      </c>
      <c r="E54" t="inlineStr">
        <is>
          <t>excel_simplified_forecast</t>
        </is>
      </c>
      <c r="F54" t="n">
        <v>0.9418905211783866</v>
      </c>
      <c r="G54" t="n">
        <v>0.9418905211783866</v>
      </c>
      <c r="H54" t="n">
        <v>2.044522770307781</v>
      </c>
    </row>
    <row r="55">
      <c r="A55" t="n">
        <v>2039</v>
      </c>
      <c r="B55" t="n">
        <v>47.66469420407325</v>
      </c>
      <c r="C55" t="n">
        <v>46.83859648</v>
      </c>
      <c r="D55" t="inlineStr">
        <is>
          <t>kenza_simplifie</t>
        </is>
      </c>
      <c r="E55" t="inlineStr">
        <is>
          <t>excel_simplified_forecast</t>
        </is>
      </c>
      <c r="F55" t="n">
        <v>0.8260977240732501</v>
      </c>
      <c r="G55" t="n">
        <v>0.8260977240732501</v>
      </c>
      <c r="H55" t="n">
        <v>1.763711524588471</v>
      </c>
    </row>
    <row r="56">
      <c r="A56" t="n">
        <v>2040</v>
      </c>
      <c r="B56" t="n">
        <v>48.32510488874991</v>
      </c>
      <c r="C56" t="n">
        <v>47.60288143</v>
      </c>
      <c r="D56" t="inlineStr">
        <is>
          <t>kenza_simplifie</t>
        </is>
      </c>
      <c r="E56" t="inlineStr">
        <is>
          <t>excel_simplified_forecast</t>
        </is>
      </c>
      <c r="F56" t="n">
        <v>0.7222234587499159</v>
      </c>
      <c r="G56" t="n">
        <v>0.7222234587499159</v>
      </c>
      <c r="H56" t="n">
        <v>1.517184332238259</v>
      </c>
    </row>
    <row r="57">
      <c r="A57" t="n">
        <v>2041</v>
      </c>
      <c r="B57" t="n">
        <v>48.99215536255348</v>
      </c>
      <c r="C57" t="n">
        <v>48.36179709</v>
      </c>
      <c r="D57" t="inlineStr">
        <is>
          <t>kenza_simplifie</t>
        </is>
      </c>
      <c r="E57" t="inlineStr">
        <is>
          <t>excel_simplified_forecast</t>
        </is>
      </c>
      <c r="F57" t="n">
        <v>0.6303582725534724</v>
      </c>
      <c r="G57" t="n">
        <v>0.6303582725534724</v>
      </c>
      <c r="H57" t="n">
        <v>1.303421937320469</v>
      </c>
    </row>
    <row r="58">
      <c r="A58" t="n">
        <v>2042</v>
      </c>
      <c r="B58" t="n">
        <v>49.66591203030381</v>
      </c>
      <c r="C58" t="n">
        <v>49.11294854</v>
      </c>
      <c r="D58" t="inlineStr">
        <is>
          <t>kenza_simplifie</t>
        </is>
      </c>
      <c r="E58" t="inlineStr">
        <is>
          <t>excel_simplified_forecast</t>
        </is>
      </c>
      <c r="F58" t="n">
        <v>0.5529634903038101</v>
      </c>
      <c r="G58" t="n">
        <v>0.5529634903038101</v>
      </c>
      <c r="H58" t="n">
        <v>1.125901634379474</v>
      </c>
    </row>
    <row r="59">
      <c r="A59" t="n">
        <v>2043</v>
      </c>
      <c r="B59" t="n">
        <v>50.34644196087028</v>
      </c>
      <c r="C59" t="n">
        <v>49.85658789</v>
      </c>
      <c r="D59" t="inlineStr">
        <is>
          <t>kenza_simplifie</t>
        </is>
      </c>
      <c r="E59" t="inlineStr">
        <is>
          <t>excel_simplified_forecast</t>
        </is>
      </c>
      <c r="F59" t="n">
        <v>0.4898540708702796</v>
      </c>
      <c r="G59" t="n">
        <v>0.4898540708702796</v>
      </c>
      <c r="H59" t="n">
        <v>0.9825262650365456</v>
      </c>
    </row>
    <row r="60">
      <c r="A60" t="n">
        <v>2044</v>
      </c>
      <c r="B60" t="n">
        <v>51.03381289381238</v>
      </c>
      <c r="C60" t="n">
        <v>50.59268274</v>
      </c>
      <c r="D60" t="inlineStr">
        <is>
          <t>kenza_simplifie</t>
        </is>
      </c>
      <c r="E60" t="inlineStr">
        <is>
          <t>excel_simplified_forecast</t>
        </is>
      </c>
      <c r="F60" t="n">
        <v>0.4411301538123808</v>
      </c>
      <c r="G60" t="n">
        <v>0.4411301538123808</v>
      </c>
      <c r="H60" t="n">
        <v>0.8719248118930268</v>
      </c>
    </row>
    <row r="61">
      <c r="A61" t="n">
        <v>2045</v>
      </c>
      <c r="B61" t="n">
        <v>51.7280932460865</v>
      </c>
      <c r="C61" t="n">
        <v>51.32202602</v>
      </c>
      <c r="D61" t="inlineStr">
        <is>
          <t>kenza_simplifie</t>
        </is>
      </c>
      <c r="E61" t="inlineStr">
        <is>
          <t>excel_simplified_forecast</t>
        </is>
      </c>
      <c r="F61" t="n">
        <v>0.406067226086499</v>
      </c>
      <c r="G61" t="n">
        <v>0.406067226086499</v>
      </c>
      <c r="H61" t="n">
        <v>0.7912143334486759</v>
      </c>
    </row>
    <row r="62">
      <c r="A62" t="n">
        <v>2046</v>
      </c>
      <c r="B62" t="n">
        <v>52.42935211881992</v>
      </c>
      <c r="C62" t="n">
        <v>52.04553605</v>
      </c>
      <c r="D62" t="inlineStr">
        <is>
          <t>kenza_simplifie</t>
        </is>
      </c>
      <c r="E62" t="inlineStr">
        <is>
          <t>excel_simplified_forecast</t>
        </is>
      </c>
      <c r="F62" t="n">
        <v>0.3838160688199181</v>
      </c>
      <c r="G62" t="n">
        <v>0.3838160688199181</v>
      </c>
      <c r="H62" t="n">
        <v>0.7374620341141017</v>
      </c>
    </row>
    <row r="63">
      <c r="A63" t="n">
        <v>2047</v>
      </c>
      <c r="B63" t="n">
        <v>53.13765930415258</v>
      </c>
      <c r="C63" t="n">
        <v>52.76300285</v>
      </c>
      <c r="D63" t="inlineStr">
        <is>
          <t>kenza_simplifie</t>
        </is>
      </c>
      <c r="E63" t="inlineStr">
        <is>
          <t>excel_simplified_forecast</t>
        </is>
      </c>
      <c r="F63" t="n">
        <v>0.3746564541525785</v>
      </c>
      <c r="G63" t="n">
        <v>0.3746564541525785</v>
      </c>
      <c r="H63" t="n">
        <v>0.7100741692387937</v>
      </c>
    </row>
    <row r="64">
      <c r="A64" t="n">
        <v>2048</v>
      </c>
      <c r="B64" t="n">
        <v>53.85308529214714</v>
      </c>
      <c r="C64" t="n">
        <v>53.47467845</v>
      </c>
      <c r="D64" t="inlineStr">
        <is>
          <t>kenza_simplifie</t>
        </is>
      </c>
      <c r="E64" t="inlineStr">
        <is>
          <t>excel_simplified_forecast</t>
        </is>
      </c>
      <c r="F64" t="n">
        <v>0.3784068421471431</v>
      </c>
      <c r="G64" t="n">
        <v>0.3784068421471431</v>
      </c>
      <c r="H64" t="n">
        <v>0.7076374334835166</v>
      </c>
    </row>
    <row r="65">
      <c r="A65" t="n">
        <v>2049</v>
      </c>
      <c r="B65" t="n">
        <v>54.57570127776824</v>
      </c>
      <c r="C65" t="n">
        <v>54.18131997</v>
      </c>
      <c r="D65" t="inlineStr">
        <is>
          <t>kenza_simplifie</t>
        </is>
      </c>
      <c r="E65" t="inlineStr">
        <is>
          <t>excel_simplified_forecast</t>
        </is>
      </c>
      <c r="F65" t="n">
        <v>0.3943813077682421</v>
      </c>
      <c r="G65" t="n">
        <v>0.3943813077682421</v>
      </c>
      <c r="H65" t="n">
        <v>0.7278916570999185</v>
      </c>
    </row>
    <row r="66">
      <c r="A66" t="n">
        <v>2018</v>
      </c>
      <c r="B66" t="n">
        <v>29.85635669863189</v>
      </c>
      <c r="C66" t="n">
        <v>30.59493561</v>
      </c>
      <c r="D66" t="inlineStr">
        <is>
          <t>kenza_simplifie_combine</t>
        </is>
      </c>
      <c r="E66" t="inlineStr">
        <is>
          <t>excel_simplified_forecast</t>
        </is>
      </c>
      <c r="F66" t="n">
        <v>-0.7385789113681049</v>
      </c>
      <c r="G66" t="n">
        <v>0.7385789113681049</v>
      </c>
      <c r="H66" t="n">
        <v>-2.41405610648417</v>
      </c>
    </row>
    <row r="67">
      <c r="A67" t="n">
        <v>2019</v>
      </c>
      <c r="B67" t="n">
        <v>30.47409365318908</v>
      </c>
      <c r="C67" t="n">
        <v>31.48642382</v>
      </c>
      <c r="D67" t="inlineStr">
        <is>
          <t>kenza_simplifie_combine</t>
        </is>
      </c>
      <c r="E67" t="inlineStr">
        <is>
          <t>excel_simplified_forecast</t>
        </is>
      </c>
      <c r="F67" t="n">
        <v>-1.012330166810919</v>
      </c>
      <c r="G67" t="n">
        <v>1.012330166810919</v>
      </c>
      <c r="H67" t="n">
        <v>-3.215132250642872</v>
      </c>
    </row>
    <row r="68">
      <c r="A68" t="n">
        <v>2020</v>
      </c>
      <c r="B68" t="n">
        <v>31.10086959711751</v>
      </c>
      <c r="C68" t="n">
        <v>32.07577992</v>
      </c>
      <c r="D68" t="inlineStr">
        <is>
          <t>kenza_simplifie_combine</t>
        </is>
      </c>
      <c r="E68" t="inlineStr">
        <is>
          <t>excel_simplified_forecast</t>
        </is>
      </c>
      <c r="F68" t="n">
        <v>-0.9749103228824972</v>
      </c>
      <c r="G68" t="n">
        <v>0.9749103228824972</v>
      </c>
      <c r="H68" t="n">
        <v>-3.03939709436221</v>
      </c>
    </row>
    <row r="69">
      <c r="A69" t="n">
        <v>2021</v>
      </c>
      <c r="B69" t="n">
        <v>31.73680347240933</v>
      </c>
      <c r="C69" t="n">
        <v>32.73073987</v>
      </c>
      <c r="D69" t="inlineStr">
        <is>
          <t>kenza_simplifie_combine</t>
        </is>
      </c>
      <c r="E69" t="inlineStr">
        <is>
          <t>excel_simplified_forecast</t>
        </is>
      </c>
      <c r="F69" t="n">
        <v>-0.993936397590666</v>
      </c>
      <c r="G69" t="n">
        <v>0.993936397590666</v>
      </c>
      <c r="H69" t="n">
        <v>-3.036706171441232</v>
      </c>
    </row>
    <row r="70">
      <c r="A70" t="n">
        <v>2022</v>
      </c>
      <c r="B70" t="n">
        <v>32.38201569598518</v>
      </c>
      <c r="C70" t="n">
        <v>33.45657198</v>
      </c>
      <c r="D70" t="inlineStr">
        <is>
          <t>kenza_simplifie_combine</t>
        </is>
      </c>
      <c r="E70" t="inlineStr">
        <is>
          <t>excel_simplified_forecast</t>
        </is>
      </c>
      <c r="F70" t="n">
        <v>-1.074556284014818</v>
      </c>
      <c r="G70" t="n">
        <v>1.074556284014818</v>
      </c>
      <c r="H70" t="n">
        <v>-3.211794336422683</v>
      </c>
    </row>
    <row r="71">
      <c r="A71" t="n">
        <v>2023</v>
      </c>
      <c r="B71" t="n">
        <v>33.03662817729847</v>
      </c>
      <c r="C71" t="n">
        <v>34.20543838</v>
      </c>
      <c r="D71" t="inlineStr">
        <is>
          <t>kenza_simplifie_combine</t>
        </is>
      </c>
      <c r="E71" t="inlineStr">
        <is>
          <t>excel_simplified_forecast</t>
        </is>
      </c>
      <c r="F71" t="n">
        <v>-1.168810202701522</v>
      </c>
      <c r="G71" t="n">
        <v>1.168810202701522</v>
      </c>
      <c r="H71" t="n">
        <v>-3.417030326338188</v>
      </c>
    </row>
    <row r="72">
      <c r="A72" t="n">
        <v>2024</v>
      </c>
      <c r="B72" t="n">
        <v>33.70076433614444</v>
      </c>
      <c r="C72" t="n">
        <v>34.96278978</v>
      </c>
      <c r="D72" t="inlineStr">
        <is>
          <t>kenza_simplifie_combine</t>
        </is>
      </c>
      <c r="E72" t="inlineStr">
        <is>
          <t>excel_simplified_forecast</t>
        </is>
      </c>
      <c r="F72" t="n">
        <v>-1.262025443855563</v>
      </c>
      <c r="G72" t="n">
        <v>1.262025443855563</v>
      </c>
      <c r="H72" t="n">
        <v>-3.609624551692635</v>
      </c>
    </row>
    <row r="73">
      <c r="A73" t="n">
        <v>2025</v>
      </c>
      <c r="B73" t="n">
        <v>34.37454912067601</v>
      </c>
      <c r="C73" t="n">
        <v>35.72979335</v>
      </c>
      <c r="D73" t="inlineStr">
        <is>
          <t>kenza_simplifie_combine</t>
        </is>
      </c>
      <c r="E73" t="inlineStr">
        <is>
          <t>excel_simplified_forecast</t>
        </is>
      </c>
      <c r="F73" t="n">
        <v>-1.355244229323994</v>
      </c>
      <c r="G73" t="n">
        <v>1.355244229323994</v>
      </c>
      <c r="H73" t="n">
        <v>-3.79303685316163</v>
      </c>
    </row>
    <row r="74">
      <c r="A74" t="n">
        <v>2026</v>
      </c>
      <c r="B74" t="n">
        <v>35.05810902562891</v>
      </c>
      <c r="C74" t="n">
        <v>36.50737913</v>
      </c>
      <c r="D74" t="inlineStr">
        <is>
          <t>kenza_simplifie_combine</t>
        </is>
      </c>
      <c r="E74" t="inlineStr">
        <is>
          <t>excel_simplified_forecast</t>
        </is>
      </c>
      <c r="F74" t="n">
        <v>-1.449270104371088</v>
      </c>
      <c r="G74" t="n">
        <v>1.449270104371088</v>
      </c>
      <c r="H74" t="n">
        <v>-3.969800459272488</v>
      </c>
    </row>
    <row r="75">
      <c r="A75" t="n">
        <v>2027</v>
      </c>
      <c r="B75" t="n">
        <v>35.75157211075859</v>
      </c>
      <c r="C75" t="n">
        <v>37.2963747</v>
      </c>
      <c r="D75" t="inlineStr">
        <is>
          <t>kenza_simplifie_combine</t>
        </is>
      </c>
      <c r="E75" t="inlineStr">
        <is>
          <t>excel_simplified_forecast</t>
        </is>
      </c>
      <c r="F75" t="n">
        <v>-1.544802589241407</v>
      </c>
      <c r="G75" t="n">
        <v>1.544802589241407</v>
      </c>
      <c r="H75" t="n">
        <v>-4.141964471526522</v>
      </c>
    </row>
    <row r="76">
      <c r="A76" t="n">
        <v>2028</v>
      </c>
      <c r="B76" t="n">
        <v>36.4550680194911</v>
      </c>
      <c r="C76" t="n">
        <v>38.09291624</v>
      </c>
      <c r="D76" t="inlineStr">
        <is>
          <t>kenza_simplifie_combine</t>
        </is>
      </c>
      <c r="E76" t="inlineStr">
        <is>
          <t>excel_simplified_forecast</t>
        </is>
      </c>
      <c r="F76" t="n">
        <v>-1.6378482205089</v>
      </c>
      <c r="G76" t="n">
        <v>1.6378482205089</v>
      </c>
      <c r="H76" t="n">
        <v>-4.299613634697399</v>
      </c>
    </row>
    <row r="77">
      <c r="A77" t="n">
        <v>2029</v>
      </c>
      <c r="B77" t="n">
        <v>37.16872799779055</v>
      </c>
      <c r="C77" t="n">
        <v>38.89314279</v>
      </c>
      <c r="D77" t="inlineStr">
        <is>
          <t>kenza_simplifie_combine</t>
        </is>
      </c>
      <c r="E77" t="inlineStr">
        <is>
          <t>excel_simplified_forecast</t>
        </is>
      </c>
      <c r="F77" t="n">
        <v>-1.724414792209451</v>
      </c>
      <c r="G77" t="n">
        <v>1.724414792209451</v>
      </c>
      <c r="H77" t="n">
        <v>-4.433724478168999</v>
      </c>
    </row>
    <row r="78">
      <c r="A78" t="n">
        <v>2030</v>
      </c>
      <c r="B78" t="n">
        <v>37.89268491324544</v>
      </c>
      <c r="C78" t="n">
        <v>39.6971468</v>
      </c>
      <c r="D78" t="inlineStr">
        <is>
          <t>kenza_simplifie_combine</t>
        </is>
      </c>
      <c r="E78" t="inlineStr">
        <is>
          <t>excel_simplified_forecast</t>
        </is>
      </c>
      <c r="F78" t="n">
        <v>-1.80446188675456</v>
      </c>
      <c r="G78" t="n">
        <v>1.80446188675456</v>
      </c>
      <c r="H78" t="n">
        <v>-4.545570732943858</v>
      </c>
    </row>
    <row r="79">
      <c r="A79" t="n">
        <v>2031</v>
      </c>
      <c r="B79" t="n">
        <v>38.62707327437671</v>
      </c>
      <c r="C79" t="n">
        <v>40.49290693</v>
      </c>
      <c r="D79" t="inlineStr">
        <is>
          <t>kenza_simplifie_combine</t>
        </is>
      </c>
      <c r="E79" t="inlineStr">
        <is>
          <t>excel_simplified_forecast</t>
        </is>
      </c>
      <c r="F79" t="n">
        <v>-1.865833655623291</v>
      </c>
      <c r="G79" t="n">
        <v>1.865833655623291</v>
      </c>
      <c r="H79" t="n">
        <v>-4.607803679910543</v>
      </c>
    </row>
    <row r="80">
      <c r="A80" t="n">
        <v>2032</v>
      </c>
      <c r="B80" t="n">
        <v>39.37202925016943</v>
      </c>
      <c r="C80" t="n">
        <v>41.29688804</v>
      </c>
      <c r="D80" t="inlineStr">
        <is>
          <t>kenza_simplifie_combine</t>
        </is>
      </c>
      <c r="E80" t="inlineStr">
        <is>
          <t>excel_simplified_forecast</t>
        </is>
      </c>
      <c r="F80" t="n">
        <v>-1.924858789830566</v>
      </c>
      <c r="G80" t="n">
        <v>1.924858789830566</v>
      </c>
      <c r="H80" t="n">
        <v>-4.661026244801195</v>
      </c>
    </row>
    <row r="81">
      <c r="A81" t="n">
        <v>2033</v>
      </c>
      <c r="B81" t="n">
        <v>40.12769068983142</v>
      </c>
      <c r="C81" t="n">
        <v>42.10726947</v>
      </c>
      <c r="D81" t="inlineStr">
        <is>
          <t>kenza_simplifie_combine</t>
        </is>
      </c>
      <c r="E81" t="inlineStr">
        <is>
          <t>excel_simplified_forecast</t>
        </is>
      </c>
      <c r="F81" t="n">
        <v>-1.97957878016858</v>
      </c>
      <c r="G81" t="n">
        <v>1.97957878016858</v>
      </c>
      <c r="H81" t="n">
        <v>-4.701275587529994</v>
      </c>
    </row>
    <row r="82">
      <c r="A82" t="n">
        <v>2034</v>
      </c>
      <c r="B82" t="n">
        <v>40.89419714278066</v>
      </c>
      <c r="C82" t="n">
        <v>42.91390963</v>
      </c>
      <c r="D82" t="inlineStr">
        <is>
          <t>kenza_simplifie_combine</t>
        </is>
      </c>
      <c r="E82" t="inlineStr">
        <is>
          <t>excel_simplified_forecast</t>
        </is>
      </c>
      <c r="F82" t="n">
        <v>-2.019712487219337</v>
      </c>
      <c r="G82" t="n">
        <v>2.019712487219337</v>
      </c>
      <c r="H82" t="n">
        <v>-4.706428532457477</v>
      </c>
    </row>
    <row r="83">
      <c r="A83" t="n">
        <v>2035</v>
      </c>
      <c r="B83" t="n">
        <v>41.67168987886464</v>
      </c>
      <c r="C83" t="n">
        <v>43.71454572</v>
      </c>
      <c r="D83" t="inlineStr">
        <is>
          <t>kenza_simplifie_combine</t>
        </is>
      </c>
      <c r="E83" t="inlineStr">
        <is>
          <t>excel_simplified_forecast</t>
        </is>
      </c>
      <c r="F83" t="n">
        <v>-2.042855841135356</v>
      </c>
      <c r="G83" t="n">
        <v>2.042855841135356</v>
      </c>
      <c r="H83" t="n">
        <v>-4.673171841291083</v>
      </c>
    </row>
    <row r="84">
      <c r="A84" t="n">
        <v>2036</v>
      </c>
      <c r="B84" t="n">
        <v>42.460311908814</v>
      </c>
      <c r="C84" t="n">
        <v>44.50672301</v>
      </c>
      <c r="D84" t="inlineStr">
        <is>
          <t>kenza_simplifie_combine</t>
        </is>
      </c>
      <c r="E84" t="inlineStr">
        <is>
          <t>excel_simplified_forecast</t>
        </is>
      </c>
      <c r="F84" t="n">
        <v>-2.046411101186003</v>
      </c>
      <c r="G84" t="n">
        <v>2.046411101186003</v>
      </c>
      <c r="H84" t="n">
        <v>-4.597981973928309</v>
      </c>
    </row>
    <row r="85">
      <c r="A85" t="n">
        <v>2037</v>
      </c>
      <c r="B85" t="n">
        <v>43.26020800493317</v>
      </c>
      <c r="C85" t="n">
        <v>45.29153668</v>
      </c>
      <c r="D85" t="inlineStr">
        <is>
          <t>kenza_simplifie_combine</t>
        </is>
      </c>
      <c r="E85" t="inlineStr">
        <is>
          <t>excel_simplified_forecast</t>
        </is>
      </c>
      <c r="F85" t="n">
        <v>-2.031328675066831</v>
      </c>
      <c r="G85" t="n">
        <v>2.031328675066831</v>
      </c>
      <c r="H85" t="n">
        <v>-4.485007186704338</v>
      </c>
    </row>
    <row r="86">
      <c r="A86" t="n">
        <v>2038</v>
      </c>
      <c r="B86" t="n">
        <v>44.07152472203085</v>
      </c>
      <c r="C86" t="n">
        <v>46.06896704</v>
      </c>
      <c r="D86" t="inlineStr">
        <is>
          <t>kenza_simplifie_combine</t>
        </is>
      </c>
      <c r="E86" t="inlineStr">
        <is>
          <t>excel_simplified_forecast</t>
        </is>
      </c>
      <c r="F86" t="n">
        <v>-1.997442317969153</v>
      </c>
      <c r="G86" t="n">
        <v>1.997442317969153</v>
      </c>
      <c r="H86" t="n">
        <v>-4.335765367247863</v>
      </c>
    </row>
    <row r="87">
      <c r="A87" t="n">
        <v>2039</v>
      </c>
      <c r="B87" t="n">
        <v>44.89441041859273</v>
      </c>
      <c r="C87" t="n">
        <v>46.83859648</v>
      </c>
      <c r="D87" t="inlineStr">
        <is>
          <t>kenza_simplifie_combine</t>
        </is>
      </c>
      <c r="E87" t="inlineStr">
        <is>
          <t>excel_simplified_forecast</t>
        </is>
      </c>
      <c r="F87" t="n">
        <v>-1.944186061407265</v>
      </c>
      <c r="G87" t="n">
        <v>1.944186061407265</v>
      </c>
      <c r="H87" t="n">
        <v>-4.150820493174746</v>
      </c>
    </row>
    <row r="88">
      <c r="A88" t="n">
        <v>2040</v>
      </c>
      <c r="B88" t="n">
        <v>45.72901527819973</v>
      </c>
      <c r="C88" t="n">
        <v>47.60288143</v>
      </c>
      <c r="D88" t="inlineStr">
        <is>
          <t>kenza_simplifie_combine</t>
        </is>
      </c>
      <c r="E88" t="inlineStr">
        <is>
          <t>excel_simplified_forecast</t>
        </is>
      </c>
      <c r="F88" t="n">
        <v>-1.873866151800271</v>
      </c>
      <c r="G88" t="n">
        <v>1.873866151800271</v>
      </c>
      <c r="H88" t="n">
        <v>-3.936455305874268</v>
      </c>
    </row>
    <row r="89">
      <c r="A89" t="n">
        <v>2041</v>
      </c>
      <c r="B89" t="n">
        <v>46.57549133119382</v>
      </c>
      <c r="C89" t="n">
        <v>48.36179709</v>
      </c>
      <c r="D89" t="inlineStr">
        <is>
          <t>kenza_simplifie_combine</t>
        </is>
      </c>
      <c r="E89" t="inlineStr">
        <is>
          <t>excel_simplified_forecast</t>
        </is>
      </c>
      <c r="F89" t="n">
        <v>-1.786305758806186</v>
      </c>
      <c r="G89" t="n">
        <v>1.786305758806186</v>
      </c>
      <c r="H89" t="n">
        <v>-3.693629820004247</v>
      </c>
    </row>
    <row r="90">
      <c r="A90" t="n">
        <v>2042</v>
      </c>
      <c r="B90" t="n">
        <v>47.43399247659512</v>
      </c>
      <c r="C90" t="n">
        <v>49.11294854</v>
      </c>
      <c r="D90" t="inlineStr">
        <is>
          <t>kenza_simplifie_combine</t>
        </is>
      </c>
      <c r="E90" t="inlineStr">
        <is>
          <t>excel_simplified_forecast</t>
        </is>
      </c>
      <c r="F90" t="n">
        <v>-1.678956063404876</v>
      </c>
      <c r="G90" t="n">
        <v>1.678956063404876</v>
      </c>
      <c r="H90" t="n">
        <v>-3.418560915839641</v>
      </c>
    </row>
    <row r="91">
      <c r="A91" t="n">
        <v>2043</v>
      </c>
      <c r="B91" t="n">
        <v>48.30467450427228</v>
      </c>
      <c r="C91" t="n">
        <v>49.85658789</v>
      </c>
      <c r="D91" t="inlineStr">
        <is>
          <t>kenza_simplifie_combine</t>
        </is>
      </c>
      <c r="E91" t="inlineStr">
        <is>
          <t>excel_simplified_forecast</t>
        </is>
      </c>
      <c r="F91" t="n">
        <v>-1.551913385727715</v>
      </c>
      <c r="G91" t="n">
        <v>1.551913385727715</v>
      </c>
      <c r="H91" t="n">
        <v>-3.112754906436328</v>
      </c>
    </row>
    <row r="92">
      <c r="A92" t="n">
        <v>2044</v>
      </c>
      <c r="B92" t="n">
        <v>49.18769511736955</v>
      </c>
      <c r="C92" t="n">
        <v>50.59268274</v>
      </c>
      <c r="D92" t="inlineStr">
        <is>
          <t>kenza_simplifie_combine</t>
        </is>
      </c>
      <c r="E92" t="inlineStr">
        <is>
          <t>excel_simplified_forecast</t>
        </is>
      </c>
      <c r="F92" t="n">
        <v>-1.40498762263045</v>
      </c>
      <c r="G92" t="n">
        <v>1.40498762263045</v>
      </c>
      <c r="H92" t="n">
        <v>-2.777056970571809</v>
      </c>
    </row>
    <row r="93">
      <c r="A93" t="n">
        <v>2045</v>
      </c>
      <c r="B93" t="n">
        <v>50.0832139549934</v>
      </c>
      <c r="C93" t="n">
        <v>51.32202602</v>
      </c>
      <c r="D93" t="inlineStr">
        <is>
          <t>kenza_simplifie_combine</t>
        </is>
      </c>
      <c r="E93" t="inlineStr">
        <is>
          <t>excel_simplified_forecast</t>
        </is>
      </c>
      <c r="F93" t="n">
        <v>-1.238812065006606</v>
      </c>
      <c r="G93" t="n">
        <v>1.238812065006606</v>
      </c>
      <c r="H93" t="n">
        <v>-2.413801950304622</v>
      </c>
    </row>
    <row r="94">
      <c r="A94" t="n">
        <v>2046</v>
      </c>
      <c r="B94" t="n">
        <v>50.9913926151613</v>
      </c>
      <c r="C94" t="n">
        <v>52.04553605</v>
      </c>
      <c r="D94" t="inlineStr">
        <is>
          <t>kenza_simplifie_combine</t>
        </is>
      </c>
      <c r="E94" t="inlineStr">
        <is>
          <t>excel_simplified_forecast</t>
        </is>
      </c>
      <c r="F94" t="n">
        <v>-1.0541434348387</v>
      </c>
      <c r="G94" t="n">
        <v>1.0541434348387</v>
      </c>
      <c r="H94" t="n">
        <v>-2.025425261882186</v>
      </c>
    </row>
    <row r="95">
      <c r="A95" t="n">
        <v>2047</v>
      </c>
      <c r="B95" t="n">
        <v>51.91239467801621</v>
      </c>
      <c r="C95" t="n">
        <v>52.76300285</v>
      </c>
      <c r="D95" t="inlineStr">
        <is>
          <t>kenza_simplifie_combine</t>
        </is>
      </c>
      <c r="E95" t="inlineStr">
        <is>
          <t>excel_simplified_forecast</t>
        </is>
      </c>
      <c r="F95" t="n">
        <v>-0.8506081719837937</v>
      </c>
      <c r="G95" t="n">
        <v>0.8506081719837937</v>
      </c>
      <c r="H95" t="n">
        <v>-1.612129950984762</v>
      </c>
    </row>
    <row r="96">
      <c r="A96" t="n">
        <v>2048</v>
      </c>
      <c r="B96" t="n">
        <v>52.84638572930909</v>
      </c>
      <c r="C96" t="n">
        <v>53.47467845</v>
      </c>
      <c r="D96" t="inlineStr">
        <is>
          <t>kenza_simplifie_combine</t>
        </is>
      </c>
      <c r="E96" t="inlineStr">
        <is>
          <t>excel_simplified_forecast</t>
        </is>
      </c>
      <c r="F96" t="n">
        <v>-0.628292720690915</v>
      </c>
      <c r="G96" t="n">
        <v>0.628292720690915</v>
      </c>
      <c r="H96" t="n">
        <v>-1.17493501392137</v>
      </c>
    </row>
    <row r="97">
      <c r="A97" t="n">
        <v>2049</v>
      </c>
      <c r="B97" t="n">
        <v>53.79353338415319</v>
      </c>
      <c r="C97" t="n">
        <v>54.18131997</v>
      </c>
      <c r="D97" t="inlineStr">
        <is>
          <t>kenza_simplifie_combine</t>
        </is>
      </c>
      <c r="E97" t="inlineStr">
        <is>
          <t>excel_simplified_forecast</t>
        </is>
      </c>
      <c r="F97" t="n">
        <v>-0.3877865858468041</v>
      </c>
      <c r="G97" t="n">
        <v>0.3877865858468041</v>
      </c>
      <c r="H97" t="n">
        <v>-0.7157200785464809</v>
      </c>
    </row>
    <row r="98">
      <c r="A98" t="n">
        <v>2018</v>
      </c>
      <c r="B98" t="n">
        <v>30.04585456353607</v>
      </c>
      <c r="C98" t="n">
        <v>31.60830621</v>
      </c>
      <c r="D98" t="inlineStr">
        <is>
          <t>kenza_simplifie_indexe</t>
        </is>
      </c>
      <c r="E98" t="inlineStr">
        <is>
          <t>excel_indexed_forecast</t>
        </is>
      </c>
      <c r="F98" t="n">
        <v>-1.562451646463931</v>
      </c>
      <c r="G98" t="n">
        <v>1.562451646463931</v>
      </c>
      <c r="H98" t="n">
        <v>-4.9431679004983</v>
      </c>
    </row>
    <row r="99">
      <c r="A99" t="n">
        <v>2019</v>
      </c>
      <c r="B99" t="n">
        <v>31.49290772934775</v>
      </c>
      <c r="C99" t="n">
        <v>32.23938307</v>
      </c>
      <c r="D99" t="inlineStr">
        <is>
          <t>kenza_simplifie_indexe</t>
        </is>
      </c>
      <c r="E99" t="inlineStr">
        <is>
          <t>excel_indexed_forecast</t>
        </is>
      </c>
      <c r="F99" t="n">
        <v>-0.7464753406522568</v>
      </c>
      <c r="G99" t="n">
        <v>0.7464753406522568</v>
      </c>
      <c r="H99" t="n">
        <v>-2.315414470033334</v>
      </c>
    </row>
    <row r="100">
      <c r="A100" t="n">
        <v>2020</v>
      </c>
      <c r="B100" t="n">
        <v>32.93216745361023</v>
      </c>
      <c r="C100" t="n">
        <v>32.95033848</v>
      </c>
      <c r="D100" t="inlineStr">
        <is>
          <t>kenza_simplifie_indexe</t>
        </is>
      </c>
      <c r="E100" t="inlineStr">
        <is>
          <t>excel_indexed_forecast</t>
        </is>
      </c>
      <c r="F100" t="n">
        <v>-0.0181710263897656</v>
      </c>
      <c r="G100" t="n">
        <v>0.0181710263897656</v>
      </c>
      <c r="H100" t="n">
        <v>-0.055146706310149</v>
      </c>
    </row>
    <row r="101">
      <c r="A101" t="n">
        <v>2021</v>
      </c>
      <c r="B101" t="n">
        <v>34.36398811206741</v>
      </c>
      <c r="C101" t="n">
        <v>33.75069178</v>
      </c>
      <c r="D101" t="inlineStr">
        <is>
          <t>kenza_simplifie_indexe</t>
        </is>
      </c>
      <c r="E101" t="inlineStr">
        <is>
          <t>excel_indexed_forecast</t>
        </is>
      </c>
      <c r="F101" t="n">
        <v>0.6132963320674136</v>
      </c>
      <c r="G101" t="n">
        <v>0.6132963320674136</v>
      </c>
      <c r="H101" t="n">
        <v>1.817137071041729</v>
      </c>
    </row>
    <row r="102">
      <c r="A102" t="n">
        <v>2022</v>
      </c>
      <c r="B102" t="n">
        <v>35.78871922984856</v>
      </c>
      <c r="C102" t="n">
        <v>34.58834549</v>
      </c>
      <c r="D102" t="inlineStr">
        <is>
          <t>kenza_simplifie_indexe</t>
        </is>
      </c>
      <c r="E102" t="inlineStr">
        <is>
          <t>excel_indexed_forecast</t>
        </is>
      </c>
      <c r="F102" t="n">
        <v>1.200373739848558</v>
      </c>
      <c r="G102" t="n">
        <v>1.200373739848558</v>
      </c>
      <c r="H102" t="n">
        <v>3.470457238828044</v>
      </c>
    </row>
    <row r="103">
      <c r="A103" t="n">
        <v>2023</v>
      </c>
      <c r="B103" t="n">
        <v>37.20670559595974</v>
      </c>
      <c r="C103" t="n">
        <v>35.4473926</v>
      </c>
      <c r="D103" t="inlineStr">
        <is>
          <t>kenza_simplifie_indexe</t>
        </is>
      </c>
      <c r="E103" t="inlineStr">
        <is>
          <t>excel_indexed_forecast</t>
        </is>
      </c>
      <c r="F103" t="n">
        <v>1.759312995959739</v>
      </c>
      <c r="G103" t="n">
        <v>1.759312995959739</v>
      </c>
      <c r="H103" t="n">
        <v>4.963166165174414</v>
      </c>
    </row>
    <row r="104">
      <c r="A104" t="n">
        <v>2024</v>
      </c>
      <c r="B104" t="n">
        <v>38.61828737575508</v>
      </c>
      <c r="C104" t="n">
        <v>36.32995333</v>
      </c>
      <c r="D104" t="inlineStr">
        <is>
          <t>kenza_simplifie_indexe</t>
        </is>
      </c>
      <c r="E104" t="inlineStr">
        <is>
          <t>excel_indexed_forecast</t>
        </is>
      </c>
      <c r="F104" t="n">
        <v>2.288334045755079</v>
      </c>
      <c r="G104" t="n">
        <v>2.288334045755079</v>
      </c>
      <c r="H104" t="n">
        <v>6.298753056380759</v>
      </c>
    </row>
    <row r="105">
      <c r="A105" t="n">
        <v>2025</v>
      </c>
      <c r="B105" t="n">
        <v>40.02380022142925</v>
      </c>
      <c r="C105" t="n">
        <v>37.23788935</v>
      </c>
      <c r="D105" t="inlineStr">
        <is>
          <t>kenza_simplifie_indexe</t>
        </is>
      </c>
      <c r="E105" t="inlineStr">
        <is>
          <t>excel_indexed_forecast</t>
        </is>
      </c>
      <c r="F105" t="n">
        <v>2.785910871429245</v>
      </c>
      <c r="G105" t="n">
        <v>2.785910871429245</v>
      </c>
      <c r="H105" t="n">
        <v>7.481387694249768</v>
      </c>
    </row>
    <row r="106">
      <c r="A106" t="n">
        <v>2026</v>
      </c>
      <c r="B106" t="n">
        <v>41.42357538057148</v>
      </c>
      <c r="C106" t="n">
        <v>38.17328702</v>
      </c>
      <c r="D106" t="inlineStr">
        <is>
          <t>kenza_simplifie_indexe</t>
        </is>
      </c>
      <c r="E106" t="inlineStr">
        <is>
          <t>excel_indexed_forecast</t>
        </is>
      </c>
      <c r="F106" t="n">
        <v>3.250288360571481</v>
      </c>
      <c r="G106" t="n">
        <v>3.250288360571481</v>
      </c>
      <c r="H106" t="n">
        <v>8.514562444854617</v>
      </c>
    </row>
    <row r="107">
      <c r="A107" t="n">
        <v>2027</v>
      </c>
      <c r="B107" t="n">
        <v>42.81793980282109</v>
      </c>
      <c r="C107" t="n">
        <v>39.13220196</v>
      </c>
      <c r="D107" t="inlineStr">
        <is>
          <t>kenza_simplifie_indexe</t>
        </is>
      </c>
      <c r="E107" t="inlineStr">
        <is>
          <t>excel_indexed_forecast</t>
        </is>
      </c>
      <c r="F107" t="n">
        <v>3.68573784282109</v>
      </c>
      <c r="G107" t="n">
        <v>3.68573784282109</v>
      </c>
      <c r="H107" t="n">
        <v>9.418682461540405</v>
      </c>
    </row>
    <row r="108">
      <c r="A108" t="n">
        <v>2028</v>
      </c>
      <c r="B108" t="n">
        <v>44.20721624466321</v>
      </c>
      <c r="C108" t="n">
        <v>40.110458</v>
      </c>
      <c r="D108" t="inlineStr">
        <is>
          <t>kenza_simplifie_indexe</t>
        </is>
      </c>
      <c r="E108" t="inlineStr">
        <is>
          <t>excel_indexed_forecast</t>
        </is>
      </c>
      <c r="F108" t="n">
        <v>4.096758244663207</v>
      </c>
      <c r="G108" t="n">
        <v>4.096758244663207</v>
      </c>
      <c r="H108" t="n">
        <v>10.21369101460573</v>
      </c>
    </row>
    <row r="109">
      <c r="A109" t="n">
        <v>2029</v>
      </c>
      <c r="B109" t="n">
        <v>45.59172337240311</v>
      </c>
      <c r="C109" t="n">
        <v>41.10877119</v>
      </c>
      <c r="D109" t="inlineStr">
        <is>
          <t>kenza_simplifie_indexe</t>
        </is>
      </c>
      <c r="E109" t="inlineStr">
        <is>
          <t>excel_indexed_forecast</t>
        </is>
      </c>
      <c r="F109" t="n">
        <v>4.48295218240311</v>
      </c>
      <c r="G109" t="n">
        <v>4.48295218240311</v>
      </c>
      <c r="H109" t="n">
        <v>10.90509896703899</v>
      </c>
    </row>
    <row r="110">
      <c r="A110" t="n">
        <v>2030</v>
      </c>
      <c r="B110" t="n">
        <v>46.97177586335645</v>
      </c>
      <c r="C110" t="n">
        <v>42.11138171</v>
      </c>
      <c r="D110" t="inlineStr">
        <is>
          <t>kenza_simplifie_indexe</t>
        </is>
      </c>
      <c r="E110" t="inlineStr">
        <is>
          <t>excel_indexed_forecast</t>
        </is>
      </c>
      <c r="F110" t="n">
        <v>4.860394153356445</v>
      </c>
      <c r="G110" t="n">
        <v>4.860394153356445</v>
      </c>
      <c r="H110" t="n">
        <v>11.54175891645528</v>
      </c>
    </row>
    <row r="111">
      <c r="A111" t="n">
        <v>2031</v>
      </c>
      <c r="B111" t="n">
        <v>48.34768450529255</v>
      </c>
      <c r="C111" t="n">
        <v>43.14087196</v>
      </c>
      <c r="D111" t="inlineStr">
        <is>
          <t>kenza_simplifie_indexe</t>
        </is>
      </c>
      <c r="E111" t="inlineStr">
        <is>
          <t>excel_indexed_forecast</t>
        </is>
      </c>
      <c r="F111" t="n">
        <v>5.20681254529255</v>
      </c>
      <c r="G111" t="n">
        <v>5.20681254529255</v>
      </c>
      <c r="H111" t="n">
        <v>12.06932616039908</v>
      </c>
    </row>
    <row r="112">
      <c r="A112" t="n">
        <v>2032</v>
      </c>
      <c r="B112" t="n">
        <v>49.71975629416639</v>
      </c>
      <c r="C112" t="n">
        <v>44.19566259</v>
      </c>
      <c r="D112" t="inlineStr">
        <is>
          <t>kenza_simplifie_indexe</t>
        </is>
      </c>
      <c r="E112" t="inlineStr">
        <is>
          <t>excel_indexed_forecast</t>
        </is>
      </c>
      <c r="F112" t="n">
        <v>5.52409370416639</v>
      </c>
      <c r="G112" t="n">
        <v>5.52409370416639</v>
      </c>
      <c r="H112" t="n">
        <v>12.49917611918846</v>
      </c>
    </row>
    <row r="113">
      <c r="A113" t="n">
        <v>2033</v>
      </c>
      <c r="B113" t="n">
        <v>51.0882945301752</v>
      </c>
      <c r="C113" t="n">
        <v>45.26195708</v>
      </c>
      <c r="D113" t="inlineStr">
        <is>
          <t>kenza_simplifie_indexe</t>
        </is>
      </c>
      <c r="E113" t="inlineStr">
        <is>
          <t>excel_indexed_forecast</t>
        </is>
      </c>
      <c r="F113" t="n">
        <v>5.826337450175195</v>
      </c>
      <c r="G113" t="n">
        <v>5.826337450175195</v>
      </c>
      <c r="H113" t="n">
        <v>12.87248238046183</v>
      </c>
    </row>
    <row r="114">
      <c r="A114" t="n">
        <v>2034</v>
      </c>
      <c r="B114" t="n">
        <v>52.45359891217383</v>
      </c>
      <c r="C114" t="n">
        <v>46.33633811</v>
      </c>
      <c r="D114" t="inlineStr">
        <is>
          <t>kenza_simplifie_indexe</t>
        </is>
      </c>
      <c r="E114" t="inlineStr">
        <is>
          <t>excel_indexed_forecast</t>
        </is>
      </c>
      <c r="F114" t="n">
        <v>6.117260802173831</v>
      </c>
      <c r="G114" t="n">
        <v>6.117260802173831</v>
      </c>
      <c r="H114" t="n">
        <v>13.20186499772982</v>
      </c>
    </row>
    <row r="115">
      <c r="A115" t="n">
        <v>2035</v>
      </c>
      <c r="B115" t="n">
        <v>53.8159656304838</v>
      </c>
      <c r="C115" t="n">
        <v>47.41501448</v>
      </c>
      <c r="D115" t="inlineStr">
        <is>
          <t>kenza_simplifie_indexe</t>
        </is>
      </c>
      <c r="E115" t="inlineStr">
        <is>
          <t>excel_indexed_forecast</t>
        </is>
      </c>
      <c r="F115" t="n">
        <v>6.400951150483792</v>
      </c>
      <c r="G115" t="n">
        <v>6.400951150483792</v>
      </c>
      <c r="H115" t="n">
        <v>13.49984012592416</v>
      </c>
    </row>
    <row r="116">
      <c r="A116" t="n">
        <v>2036</v>
      </c>
      <c r="B116" t="n">
        <v>55.1756874581285</v>
      </c>
      <c r="C116" t="n">
        <v>48.4992083</v>
      </c>
      <c r="D116" t="inlineStr">
        <is>
          <t>kenza_simplifie_indexe</t>
        </is>
      </c>
      <c r="E116" t="inlineStr">
        <is>
          <t>excel_indexed_forecast</t>
        </is>
      </c>
      <c r="F116" t="n">
        <v>6.676479158128501</v>
      </c>
      <c r="G116" t="n">
        <v>6.676479158128501</v>
      </c>
      <c r="H116" t="n">
        <v>13.76616112335281</v>
      </c>
    </row>
    <row r="117">
      <c r="A117" t="n">
        <v>2037</v>
      </c>
      <c r="B117" t="n">
        <v>56.53305384052854</v>
      </c>
      <c r="C117" t="n">
        <v>49.58841032</v>
      </c>
      <c r="D117" t="inlineStr">
        <is>
          <t>kenza_simplifie_indexe</t>
        </is>
      </c>
      <c r="E117" t="inlineStr">
        <is>
          <t>excel_indexed_forecast</t>
        </is>
      </c>
      <c r="F117" t="n">
        <v>6.944643520528537</v>
      </c>
      <c r="G117" t="n">
        <v>6.944643520528537</v>
      </c>
      <c r="H117" t="n">
        <v>14.00456976885105</v>
      </c>
    </row>
    <row r="118">
      <c r="A118" t="n">
        <v>2038</v>
      </c>
      <c r="B118" t="n">
        <v>57.88835098368811</v>
      </c>
      <c r="C118" t="n">
        <v>50.68168268</v>
      </c>
      <c r="D118" t="inlineStr">
        <is>
          <t>kenza_simplifie_indexe</t>
        </is>
      </c>
      <c r="E118" t="inlineStr">
        <is>
          <t>excel_indexed_forecast</t>
        </is>
      </c>
      <c r="F118" t="n">
        <v>7.206668303688104</v>
      </c>
      <c r="G118" t="n">
        <v>7.206668303688104</v>
      </c>
      <c r="H118" t="n">
        <v>14.21947323491688</v>
      </c>
    </row>
    <row r="119">
      <c r="A119" t="n">
        <v>2039</v>
      </c>
      <c r="B119" t="n">
        <v>59.24186194090541</v>
      </c>
      <c r="C119" t="n">
        <v>51.78236111</v>
      </c>
      <c r="D119" t="inlineStr">
        <is>
          <t>kenza_simplifie_indexe</t>
        </is>
      </c>
      <c r="E119" t="inlineStr">
        <is>
          <t>excel_indexed_forecast</t>
        </is>
      </c>
      <c r="F119" t="n">
        <v>7.459500830905412</v>
      </c>
      <c r="G119" t="n">
        <v>7.459500830905412</v>
      </c>
      <c r="H119" t="n">
        <v>14.40548609797722</v>
      </c>
    </row>
    <row r="120">
      <c r="A120" t="n">
        <v>2040</v>
      </c>
      <c r="B120" t="n">
        <v>60.59386669803702</v>
      </c>
      <c r="C120" t="n">
        <v>52.89006822</v>
      </c>
      <c r="D120" t="inlineStr">
        <is>
          <t>kenza_simplifie_indexe</t>
        </is>
      </c>
      <c r="E120" t="inlineStr">
        <is>
          <t>excel_indexed_forecast</t>
        </is>
      </c>
      <c r="F120" t="n">
        <v>7.703798478037015</v>
      </c>
      <c r="G120" t="n">
        <v>7.703798478037015</v>
      </c>
      <c r="H120" t="n">
        <v>14.56568073611196</v>
      </c>
    </row>
    <row r="121">
      <c r="A121" t="n">
        <v>2041</v>
      </c>
      <c r="B121" t="n">
        <v>61.94464225734726</v>
      </c>
      <c r="C121" t="n">
        <v>54.00041361</v>
      </c>
      <c r="D121" t="inlineStr">
        <is>
          <t>kenza_simplifie_indexe</t>
        </is>
      </c>
      <c r="E121" t="inlineStr">
        <is>
          <t>excel_indexed_forecast</t>
        </is>
      </c>
      <c r="F121" t="n">
        <v>7.944228647347259</v>
      </c>
      <c r="G121" t="n">
        <v>7.944228647347259</v>
      </c>
      <c r="H121" t="n">
        <v>14.71142185080619</v>
      </c>
    </row>
    <row r="122">
      <c r="A122" t="n">
        <v>2042</v>
      </c>
      <c r="B122" t="n">
        <v>63.29446271997237</v>
      </c>
      <c r="C122" t="n">
        <v>55.11313439</v>
      </c>
      <c r="D122" t="inlineStr">
        <is>
          <t>kenza_simplifie_indexe</t>
        </is>
      </c>
      <c r="E122" t="inlineStr">
        <is>
          <t>excel_indexed_forecast</t>
        </is>
      </c>
      <c r="F122" t="n">
        <v>8.181328329972374</v>
      </c>
      <c r="G122" t="n">
        <v>8.181328329972374</v>
      </c>
      <c r="H122" t="n">
        <v>14.84460722570849</v>
      </c>
    </row>
    <row r="123">
      <c r="A123" t="n">
        <v>2043</v>
      </c>
      <c r="B123" t="n">
        <v>64.64359936702854</v>
      </c>
      <c r="C123" t="n">
        <v>56.2275585</v>
      </c>
      <c r="D123" t="inlineStr">
        <is>
          <t>kenza_simplifie_indexe</t>
        </is>
      </c>
      <c r="E123" t="inlineStr">
        <is>
          <t>excel_indexed_forecast</t>
        </is>
      </c>
      <c r="F123" t="n">
        <v>8.416040867028542</v>
      </c>
      <c r="G123" t="n">
        <v>8.416040867028542</v>
      </c>
      <c r="H123" t="n">
        <v>14.9678219925351</v>
      </c>
    </row>
    <row r="124">
      <c r="A124" t="n">
        <v>2044</v>
      </c>
      <c r="B124" t="n">
        <v>65.99232073939299</v>
      </c>
      <c r="C124" t="n">
        <v>57.34412373</v>
      </c>
      <c r="D124" t="inlineStr">
        <is>
          <t>kenza_simplifie_indexe</t>
        </is>
      </c>
      <c r="E124" t="inlineStr">
        <is>
          <t>excel_indexed_forecast</t>
        </is>
      </c>
      <c r="F124" t="n">
        <v>8.648197009392995</v>
      </c>
      <c r="G124" t="n">
        <v>8.648197009392995</v>
      </c>
      <c r="H124" t="n">
        <v>15.08122619522848</v>
      </c>
    </row>
    <row r="125">
      <c r="A125" t="n">
        <v>2045</v>
      </c>
      <c r="B125" t="n">
        <v>67.3408927161861</v>
      </c>
      <c r="C125" t="n">
        <v>58.46367146</v>
      </c>
      <c r="D125" t="inlineStr">
        <is>
          <t>kenza_simplifie_indexe</t>
        </is>
      </c>
      <c r="E125" t="inlineStr">
        <is>
          <t>excel_indexed_forecast</t>
        </is>
      </c>
      <c r="F125" t="n">
        <v>8.877221256186104</v>
      </c>
      <c r="G125" t="n">
        <v>8.877221256186104</v>
      </c>
      <c r="H125" t="n">
        <v>15.18416656788271</v>
      </c>
    </row>
    <row r="126">
      <c r="A126" t="n">
        <v>2046</v>
      </c>
      <c r="B126" t="n">
        <v>68.68957859198208</v>
      </c>
      <c r="C126" t="n">
        <v>59.58517239</v>
      </c>
      <c r="D126" t="inlineStr">
        <is>
          <t>kenza_simplifie_indexe</t>
        </is>
      </c>
      <c r="E126" t="inlineStr">
        <is>
          <t>excel_indexed_forecast</t>
        </is>
      </c>
      <c r="F126" t="n">
        <v>9.104406201982089</v>
      </c>
      <c r="G126" t="n">
        <v>9.104406201982089</v>
      </c>
      <c r="H126" t="n">
        <v>15.27965068623357</v>
      </c>
    </row>
    <row r="127">
      <c r="A127" t="n">
        <v>2047</v>
      </c>
      <c r="B127" t="n">
        <v>70.03863915277616</v>
      </c>
      <c r="C127" t="n">
        <v>60.7082879</v>
      </c>
      <c r="D127" t="inlineStr">
        <is>
          <t>kenza_simplifie_indexe</t>
        </is>
      </c>
      <c r="E127" t="inlineStr">
        <is>
          <t>excel_indexed_forecast</t>
        </is>
      </c>
      <c r="F127" t="n">
        <v>9.330351252776154</v>
      </c>
      <c r="G127" t="n">
        <v>9.330351252776154</v>
      </c>
      <c r="H127" t="n">
        <v>15.36915563842833</v>
      </c>
    </row>
    <row r="128">
      <c r="A128" t="n">
        <v>2048</v>
      </c>
      <c r="B128" t="n">
        <v>71.38833275073398</v>
      </c>
      <c r="C128" t="n">
        <v>61.83352067</v>
      </c>
      <c r="D128" t="inlineStr">
        <is>
          <t>kenza_simplifie_indexe</t>
        </is>
      </c>
      <c r="E128" t="inlineStr">
        <is>
          <t>excel_indexed_forecast</t>
        </is>
      </c>
      <c r="F128" t="n">
        <v>9.55481208073398</v>
      </c>
      <c r="G128" t="n">
        <v>9.55481208073398</v>
      </c>
      <c r="H128" t="n">
        <v>15.45247945968848</v>
      </c>
    </row>
    <row r="129">
      <c r="A129" t="n">
        <v>2018</v>
      </c>
      <c r="B129" t="n">
        <v>31.21081780787464</v>
      </c>
      <c r="C129" t="n">
        <v>31.60830621</v>
      </c>
      <c r="D129" t="inlineStr">
        <is>
          <t>kenza_indexed</t>
        </is>
      </c>
      <c r="E129" t="inlineStr">
        <is>
          <t>excel_indexed_forecast</t>
        </is>
      </c>
      <c r="F129" t="n">
        <v>-0.3974884021253615</v>
      </c>
      <c r="G129" t="n">
        <v>0.3974884021253615</v>
      </c>
      <c r="H129" t="n">
        <v>-1.257544138823887</v>
      </c>
    </row>
    <row r="130">
      <c r="A130" t="n">
        <v>2019</v>
      </c>
      <c r="B130" t="n">
        <v>33.07607713058012</v>
      </c>
      <c r="C130" t="n">
        <v>32.23938307</v>
      </c>
      <c r="D130" t="inlineStr">
        <is>
          <t>kenza_indexed</t>
        </is>
      </c>
      <c r="E130" t="inlineStr">
        <is>
          <t>excel_indexed_forecast</t>
        </is>
      </c>
      <c r="F130" t="n">
        <v>0.8366940605801148</v>
      </c>
      <c r="G130" t="n">
        <v>0.8366940605801148</v>
      </c>
      <c r="H130" t="n">
        <v>2.59525456415663</v>
      </c>
    </row>
    <row r="131">
      <c r="A131" t="n">
        <v>2020</v>
      </c>
      <c r="B131" t="n">
        <v>35.00667166461876</v>
      </c>
      <c r="C131" t="n">
        <v>32.95033848</v>
      </c>
      <c r="D131" t="inlineStr">
        <is>
          <t>kenza_indexed</t>
        </is>
      </c>
      <c r="E131" t="inlineStr">
        <is>
          <t>excel_indexed_forecast</t>
        </is>
      </c>
      <c r="F131" t="n">
        <v>2.056333184618758</v>
      </c>
      <c r="G131" t="n">
        <v>2.056333184618758</v>
      </c>
      <c r="H131" t="n">
        <v>6.240704282497428</v>
      </c>
    </row>
    <row r="132">
      <c r="A132" t="n">
        <v>2021</v>
      </c>
      <c r="B132" t="n">
        <v>37.00155273642787</v>
      </c>
      <c r="C132" t="n">
        <v>33.75069178</v>
      </c>
      <c r="D132" t="inlineStr">
        <is>
          <t>kenza_indexed</t>
        </is>
      </c>
      <c r="E132" t="inlineStr">
        <is>
          <t>excel_indexed_forecast</t>
        </is>
      </c>
      <c r="F132" t="n">
        <v>3.250860956427871</v>
      </c>
      <c r="G132" t="n">
        <v>3.250860956427871</v>
      </c>
      <c r="H132" t="n">
        <v>9.631983183095134</v>
      </c>
    </row>
    <row r="133">
      <c r="A133" t="n">
        <v>2022</v>
      </c>
      <c r="B133" t="n">
        <v>39.05946275006801</v>
      </c>
      <c r="C133" t="n">
        <v>34.58834549</v>
      </c>
      <c r="D133" t="inlineStr">
        <is>
          <t>kenza_indexed</t>
        </is>
      </c>
      <c r="E133" t="inlineStr">
        <is>
          <t>excel_indexed_forecast</t>
        </is>
      </c>
      <c r="F133" t="n">
        <v>4.471117260068006</v>
      </c>
      <c r="G133" t="n">
        <v>4.471117260068006</v>
      </c>
      <c r="H133" t="n">
        <v>12.92665837792291</v>
      </c>
    </row>
    <row r="134">
      <c r="A134" t="n">
        <v>2023</v>
      </c>
      <c r="B134" t="n">
        <v>41.1789448410276</v>
      </c>
      <c r="C134" t="n">
        <v>35.4473926</v>
      </c>
      <c r="D134" t="inlineStr">
        <is>
          <t>kenza_indexed</t>
        </is>
      </c>
      <c r="E134" t="inlineStr">
        <is>
          <t>excel_indexed_forecast</t>
        </is>
      </c>
      <c r="F134" t="n">
        <v>5.731552241027593</v>
      </c>
      <c r="G134" t="n">
        <v>5.731552241027593</v>
      </c>
      <c r="H134" t="n">
        <v>16.16917866344729</v>
      </c>
    </row>
    <row r="135">
      <c r="A135" t="n">
        <v>2024</v>
      </c>
      <c r="B135" t="n">
        <v>43.35835459115657</v>
      </c>
      <c r="C135" t="n">
        <v>36.32995333</v>
      </c>
      <c r="D135" t="inlineStr">
        <is>
          <t>kenza_indexed</t>
        </is>
      </c>
      <c r="E135" t="inlineStr">
        <is>
          <t>excel_indexed_forecast</t>
        </is>
      </c>
      <c r="F135" t="n">
        <v>7.028401261156567</v>
      </c>
      <c r="G135" t="n">
        <v>7.028401261156567</v>
      </c>
      <c r="H135" t="n">
        <v>19.3460233689669</v>
      </c>
    </row>
    <row r="136">
      <c r="A136" t="n">
        <v>2025</v>
      </c>
      <c r="B136" t="n">
        <v>45.59587362044322</v>
      </c>
      <c r="C136" t="n">
        <v>37.23788935</v>
      </c>
      <c r="D136" t="inlineStr">
        <is>
          <t>kenza_indexed</t>
        </is>
      </c>
      <c r="E136" t="inlineStr">
        <is>
          <t>excel_indexed_forecast</t>
        </is>
      </c>
      <c r="F136" t="n">
        <v>8.357984270443218</v>
      </c>
      <c r="G136" t="n">
        <v>8.357984270443218</v>
      </c>
      <c r="H136" t="n">
        <v>22.4448388894609</v>
      </c>
    </row>
    <row r="137">
      <c r="A137" t="n">
        <v>2026</v>
      </c>
      <c r="B137" t="n">
        <v>47.88952483698531</v>
      </c>
      <c r="C137" t="n">
        <v>38.17328702</v>
      </c>
      <c r="D137" t="inlineStr">
        <is>
          <t>kenza_indexed</t>
        </is>
      </c>
      <c r="E137" t="inlineStr">
        <is>
          <t>excel_indexed_forecast</t>
        </is>
      </c>
      <c r="F137" t="n">
        <v>9.716237816985313</v>
      </c>
      <c r="G137" t="n">
        <v>9.716237816985313</v>
      </c>
      <c r="H137" t="n">
        <v>25.45297661135317</v>
      </c>
    </row>
    <row r="138">
      <c r="A138" t="n">
        <v>2027</v>
      </c>
      <c r="B138" t="n">
        <v>50.23718909808013</v>
      </c>
      <c r="C138" t="n">
        <v>39.13220196</v>
      </c>
      <c r="D138" t="inlineStr">
        <is>
          <t>kenza_indexed</t>
        </is>
      </c>
      <c r="E138" t="inlineStr">
        <is>
          <t>excel_indexed_forecast</t>
        </is>
      </c>
      <c r="F138" t="n">
        <v>11.10498713808013</v>
      </c>
      <c r="G138" t="n">
        <v>11.10498713808013</v>
      </c>
      <c r="H138" t="n">
        <v>28.37812998468979</v>
      </c>
    </row>
    <row r="139">
      <c r="A139" t="n">
        <v>2028</v>
      </c>
      <c r="B139" t="n">
        <v>52.63662301361759</v>
      </c>
      <c r="C139" t="n">
        <v>40.110458</v>
      </c>
      <c r="D139" t="inlineStr">
        <is>
          <t>kenza_indexed</t>
        </is>
      </c>
      <c r="E139" t="inlineStr">
        <is>
          <t>excel_indexed_forecast</t>
        </is>
      </c>
      <c r="F139" t="n">
        <v>12.52616501361759</v>
      </c>
      <c r="G139" t="n">
        <v>12.52616501361759</v>
      </c>
      <c r="H139" t="n">
        <v>31.22917472948722</v>
      </c>
    </row>
    <row r="140">
      <c r="A140" t="n">
        <v>2029</v>
      </c>
      <c r="B140" t="n">
        <v>55.08547760839829</v>
      </c>
      <c r="C140" t="n">
        <v>41.10877119</v>
      </c>
      <c r="D140" t="inlineStr">
        <is>
          <t>kenza_indexed</t>
        </is>
      </c>
      <c r="E140" t="inlineStr">
        <is>
          <t>excel_indexed_forecast</t>
        </is>
      </c>
      <c r="F140" t="n">
        <v>13.97670641839829</v>
      </c>
      <c r="G140" t="n">
        <v>13.97670641839829</v>
      </c>
      <c r="H140" t="n">
        <v>33.99932913051467</v>
      </c>
    </row>
    <row r="141">
      <c r="A141" t="n">
        <v>2030</v>
      </c>
      <c r="B141" t="n">
        <v>57.58131755281119</v>
      </c>
      <c r="C141" t="n">
        <v>42.11138171</v>
      </c>
      <c r="D141" t="inlineStr">
        <is>
          <t>kenza_indexed</t>
        </is>
      </c>
      <c r="E141" t="inlineStr">
        <is>
          <t>excel_indexed_forecast</t>
        </is>
      </c>
      <c r="F141" t="n">
        <v>15.46993584281119</v>
      </c>
      <c r="G141" t="n">
        <v>15.46993584281119</v>
      </c>
      <c r="H141" t="n">
        <v>36.73575934730636</v>
      </c>
    </row>
    <row r="142">
      <c r="A142" t="n">
        <v>2031</v>
      </c>
      <c r="B142" t="n">
        <v>60.12164067142034</v>
      </c>
      <c r="C142" t="n">
        <v>43.14087196</v>
      </c>
      <c r="D142" t="inlineStr">
        <is>
          <t>kenza_indexed</t>
        </is>
      </c>
      <c r="E142" t="inlineStr">
        <is>
          <t>excel_indexed_forecast</t>
        </is>
      </c>
      <c r="F142" t="n">
        <v>16.98076871142035</v>
      </c>
      <c r="G142" t="n">
        <v>16.98076871142035</v>
      </c>
      <c r="H142" t="n">
        <v>39.36120884891903</v>
      </c>
    </row>
    <row r="143">
      <c r="A143" t="n">
        <v>2032</v>
      </c>
      <c r="B143" t="n">
        <v>62.70389744608456</v>
      </c>
      <c r="C143" t="n">
        <v>44.19566259</v>
      </c>
      <c r="D143" t="inlineStr">
        <is>
          <t>kenza_indexed</t>
        </is>
      </c>
      <c r="E143" t="inlineStr">
        <is>
          <t>excel_indexed_forecast</t>
        </is>
      </c>
      <c r="F143" t="n">
        <v>18.50823485608456</v>
      </c>
      <c r="G143" t="n">
        <v>18.50823485608456</v>
      </c>
      <c r="H143" t="n">
        <v>41.87794405931672</v>
      </c>
    </row>
    <row r="144">
      <c r="A144" t="n">
        <v>2033</v>
      </c>
      <c r="B144" t="n">
        <v>65.32551024368996</v>
      </c>
      <c r="C144" t="n">
        <v>45.26195708</v>
      </c>
      <c r="D144" t="inlineStr">
        <is>
          <t>kenza_indexed</t>
        </is>
      </c>
      <c r="E144" t="inlineStr">
        <is>
          <t>excel_indexed_forecast</t>
        </is>
      </c>
      <c r="F144" t="n">
        <v>20.06355316368996</v>
      </c>
      <c r="G144" t="n">
        <v>20.06355316368996</v>
      </c>
      <c r="H144" t="n">
        <v>44.32763065951358</v>
      </c>
    </row>
    <row r="145">
      <c r="A145" t="n">
        <v>2034</v>
      </c>
      <c r="B145" t="n">
        <v>67.98389201764719</v>
      </c>
      <c r="C145" t="n">
        <v>46.33633811</v>
      </c>
      <c r="D145" t="inlineStr">
        <is>
          <t>kenza_indexed</t>
        </is>
      </c>
      <c r="E145" t="inlineStr">
        <is>
          <t>excel_indexed_forecast</t>
        </is>
      </c>
      <c r="F145" t="n">
        <v>21.6475539076472</v>
      </c>
      <c r="G145" t="n">
        <v>21.6475539076472</v>
      </c>
      <c r="H145" t="n">
        <v>46.71830962614494</v>
      </c>
    </row>
    <row r="146">
      <c r="A146" t="n">
        <v>2035</v>
      </c>
      <c r="B146" t="n">
        <v>70.67646425607099</v>
      </c>
      <c r="C146" t="n">
        <v>47.41501448</v>
      </c>
      <c r="D146" t="inlineStr">
        <is>
          <t>kenza_indexed</t>
        </is>
      </c>
      <c r="E146" t="inlineStr">
        <is>
          <t>excel_indexed_forecast</t>
        </is>
      </c>
      <c r="F146" t="n">
        <v>23.26144977607098</v>
      </c>
      <c r="G146" t="n">
        <v>23.26144977607098</v>
      </c>
      <c r="H146" t="n">
        <v>49.05924849159928</v>
      </c>
    </row>
    <row r="147">
      <c r="A147" t="n">
        <v>2036</v>
      </c>
      <c r="B147" t="n">
        <v>73.40067397700263</v>
      </c>
      <c r="C147" t="n">
        <v>48.4992083</v>
      </c>
      <c r="D147" t="inlineStr">
        <is>
          <t>kenza_indexed</t>
        </is>
      </c>
      <c r="E147" t="inlineStr">
        <is>
          <t>excel_indexed_forecast</t>
        </is>
      </c>
      <c r="F147" t="n">
        <v>24.90146567700262</v>
      </c>
      <c r="G147" t="n">
        <v>24.90146567700262</v>
      </c>
      <c r="H147" t="n">
        <v>51.34406632572315</v>
      </c>
    </row>
    <row r="148">
      <c r="A148" t="n">
        <v>2037</v>
      </c>
      <c r="B148" t="n">
        <v>76.15400960109838</v>
      </c>
      <c r="C148" t="n">
        <v>49.58841032</v>
      </c>
      <c r="D148" t="inlineStr">
        <is>
          <t>kenza_indexed</t>
        </is>
      </c>
      <c r="E148" t="inlineStr">
        <is>
          <t>excel_indexed_forecast</t>
        </is>
      </c>
      <c r="F148" t="n">
        <v>26.56559928109838</v>
      </c>
      <c r="G148" t="n">
        <v>26.56559928109838</v>
      </c>
      <c r="H148" t="n">
        <v>53.57219380429289</v>
      </c>
    </row>
    <row r="149">
      <c r="A149" t="n">
        <v>2038</v>
      </c>
      <c r="B149" t="n">
        <v>78.93401556381279</v>
      </c>
      <c r="C149" t="n">
        <v>50.68168268</v>
      </c>
      <c r="D149" t="inlineStr">
        <is>
          <t>kenza_indexed</t>
        </is>
      </c>
      <c r="E149" t="inlineStr">
        <is>
          <t>excel_indexed_forecast</t>
        </is>
      </c>
      <c r="F149" t="n">
        <v>28.25233288381279</v>
      </c>
      <c r="G149" t="n">
        <v>28.25233288381279</v>
      </c>
      <c r="H149" t="n">
        <v>55.74466235108197</v>
      </c>
    </row>
    <row r="150">
      <c r="A150" t="n">
        <v>2039</v>
      </c>
      <c r="B150" t="n">
        <v>81.73830556125658</v>
      </c>
      <c r="C150" t="n">
        <v>51.78236111</v>
      </c>
      <c r="D150" t="inlineStr">
        <is>
          <t>kenza_indexed</t>
        </is>
      </c>
      <c r="E150" t="inlineStr">
        <is>
          <t>excel_indexed_forecast</t>
        </is>
      </c>
      <c r="F150" t="n">
        <v>29.95594445125658</v>
      </c>
      <c r="G150" t="n">
        <v>29.95594445125658</v>
      </c>
      <c r="H150" t="n">
        <v>57.84970752419324</v>
      </c>
    </row>
    <row r="151">
      <c r="A151" t="n">
        <v>2040</v>
      </c>
      <c r="B151" t="n">
        <v>84.56457435564735</v>
      </c>
      <c r="C151" t="n">
        <v>52.89006822</v>
      </c>
      <c r="D151" t="inlineStr">
        <is>
          <t>kenza_indexed</t>
        </is>
      </c>
      <c r="E151" t="inlineStr">
        <is>
          <t>excel_indexed_forecast</t>
        </is>
      </c>
      <c r="F151" t="n">
        <v>31.67450613564735</v>
      </c>
      <c r="G151" t="n">
        <v>31.67450613564735</v>
      </c>
      <c r="H151" t="n">
        <v>59.88743671854418</v>
      </c>
    </row>
    <row r="152">
      <c r="A152" t="n">
        <v>2041</v>
      </c>
      <c r="B152" t="n">
        <v>87.41060809678646</v>
      </c>
      <c r="C152" t="n">
        <v>54.00041361</v>
      </c>
      <c r="D152" t="inlineStr">
        <is>
          <t>kenza_indexed</t>
        </is>
      </c>
      <c r="E152" t="inlineStr">
        <is>
          <t>excel_indexed_forecast</t>
        </is>
      </c>
      <c r="F152" t="n">
        <v>33.41019448678646</v>
      </c>
      <c r="G152" t="n">
        <v>33.41019448678646</v>
      </c>
      <c r="H152" t="n">
        <v>61.87025663929254</v>
      </c>
    </row>
    <row r="153">
      <c r="A153" t="n">
        <v>2042</v>
      </c>
      <c r="B153" t="n">
        <v>90.27429314458313</v>
      </c>
      <c r="C153" t="n">
        <v>55.11313439</v>
      </c>
      <c r="D153" t="inlineStr">
        <is>
          <t>kenza_indexed</t>
        </is>
      </c>
      <c r="E153" t="inlineStr">
        <is>
          <t>excel_indexed_forecast</t>
        </is>
      </c>
      <c r="F153" t="n">
        <v>35.16115875458313</v>
      </c>
      <c r="G153" t="n">
        <v>35.16115875458313</v>
      </c>
      <c r="H153" t="n">
        <v>63.79814747201701</v>
      </c>
    </row>
    <row r="154">
      <c r="A154" t="n">
        <v>2043</v>
      </c>
      <c r="B154" t="n">
        <v>93.15362340374858</v>
      </c>
      <c r="C154" t="n">
        <v>56.2275585</v>
      </c>
      <c r="D154" t="inlineStr">
        <is>
          <t>kenza_indexed</t>
        </is>
      </c>
      <c r="E154" t="inlineStr">
        <is>
          <t>excel_indexed_forecast</t>
        </is>
      </c>
      <c r="F154" t="n">
        <v>36.92606490374858</v>
      </c>
      <c r="G154" t="n">
        <v>36.92606490374858</v>
      </c>
      <c r="H154" t="n">
        <v>65.67253832255331</v>
      </c>
    </row>
    <row r="155">
      <c r="A155" t="n">
        <v>2044</v>
      </c>
      <c r="B155" t="n">
        <v>96.04670620500184</v>
      </c>
      <c r="C155" t="n">
        <v>57.34412373</v>
      </c>
      <c r="D155" t="inlineStr">
        <is>
          <t>kenza_indexed</t>
        </is>
      </c>
      <c r="E155" t="inlineStr">
        <is>
          <t>excel_indexed_forecast</t>
        </is>
      </c>
      <c r="F155" t="n">
        <v>38.70258247500184</v>
      </c>
      <c r="G155" t="n">
        <v>38.70258247500184</v>
      </c>
      <c r="H155" t="n">
        <v>67.4918020497265</v>
      </c>
    </row>
    <row r="156">
      <c r="A156" t="n">
        <v>2045</v>
      </c>
      <c r="B156" t="n">
        <v>98.95176678717588</v>
      </c>
      <c r="C156" t="n">
        <v>58.46367146</v>
      </c>
      <c r="D156" t="inlineStr">
        <is>
          <t>kenza_indexed</t>
        </is>
      </c>
      <c r="E156" t="inlineStr">
        <is>
          <t>excel_indexed_forecast</t>
        </is>
      </c>
      <c r="F156" t="n">
        <v>40.48809532717587</v>
      </c>
      <c r="G156" t="n">
        <v>40.48809532717587</v>
      </c>
      <c r="H156" t="n">
        <v>69.25342578746057</v>
      </c>
    </row>
    <row r="157">
      <c r="A157" t="n">
        <v>2046</v>
      </c>
      <c r="B157" t="n">
        <v>101.8671514513722</v>
      </c>
      <c r="C157" t="n">
        <v>59.58517239</v>
      </c>
      <c r="D157" t="inlineStr">
        <is>
          <t>kenza_indexed</t>
        </is>
      </c>
      <c r="E157" t="inlineStr">
        <is>
          <t>excel_indexed_forecast</t>
        </is>
      </c>
      <c r="F157" t="n">
        <v>42.28197906137225</v>
      </c>
      <c r="G157" t="n">
        <v>42.28197906137225</v>
      </c>
      <c r="H157" t="n">
        <v>70.96057184264909</v>
      </c>
    </row>
    <row r="158">
      <c r="A158" t="n">
        <v>2047</v>
      </c>
      <c r="B158" t="n">
        <v>104.7913294717545</v>
      </c>
      <c r="C158" t="n">
        <v>60.7082879</v>
      </c>
      <c r="D158" t="inlineStr">
        <is>
          <t>kenza_indexed</t>
        </is>
      </c>
      <c r="E158" t="inlineStr">
        <is>
          <t>excel_indexed_forecast</t>
        </is>
      </c>
      <c r="F158" t="n">
        <v>44.08304157175446</v>
      </c>
      <c r="G158" t="n">
        <v>44.08304157175446</v>
      </c>
      <c r="H158" t="n">
        <v>72.61453599938282</v>
      </c>
    </row>
    <row r="159">
      <c r="A159" t="n">
        <v>2048</v>
      </c>
      <c r="B159" t="n">
        <v>107.7228938577835</v>
      </c>
      <c r="C159" t="n">
        <v>61.83352067</v>
      </c>
      <c r="D159" t="inlineStr">
        <is>
          <t>kenza_indexed</t>
        </is>
      </c>
      <c r="E159" t="inlineStr">
        <is>
          <t>excel_indexed_forecast</t>
        </is>
      </c>
      <c r="F159" t="n">
        <v>45.88937318778348</v>
      </c>
      <c r="G159" t="n">
        <v>45.88937318778348</v>
      </c>
      <c r="H159" t="n">
        <v>74.21439486308887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Annee</t>
        </is>
      </c>
      <c r="B1" t="inlineStr">
        <is>
          <t>Historique</t>
        </is>
      </c>
      <c r="C1" t="inlineStr">
        <is>
          <t>Julia</t>
        </is>
      </c>
      <c r="D1" t="inlineStr">
        <is>
          <t>Excel</t>
        </is>
      </c>
      <c r="E1" t="inlineStr">
        <is>
          <t>abs_error</t>
        </is>
      </c>
    </row>
    <row r="2">
      <c r="A2" t="n">
        <v>2005</v>
      </c>
      <c r="B2" t="n">
        <v>20.885504</v>
      </c>
      <c r="C2" t="n">
        <v/>
      </c>
      <c r="D2" t="n">
        <v>22.11158706</v>
      </c>
    </row>
    <row r="3">
      <c r="A3" t="n">
        <v>2006</v>
      </c>
      <c r="B3" t="n">
        <v>20.826152</v>
      </c>
      <c r="C3" t="n">
        <v/>
      </c>
      <c r="D3" t="n">
        <v>22.53927711</v>
      </c>
    </row>
    <row r="4">
      <c r="A4" t="n">
        <v>2007</v>
      </c>
      <c r="B4" t="n">
        <v>21.926944</v>
      </c>
      <c r="C4" t="n">
        <v/>
      </c>
      <c r="D4" t="n">
        <v>22.86278035</v>
      </c>
    </row>
    <row r="5">
      <c r="A5" t="n">
        <v>2008</v>
      </c>
      <c r="B5" t="n">
        <v>21.922236</v>
      </c>
      <c r="C5" t="n">
        <v/>
      </c>
      <c r="D5" t="n">
        <v>22.84200292</v>
      </c>
    </row>
    <row r="6">
      <c r="A6" t="n">
        <v>2009</v>
      </c>
      <c r="B6" t="n">
        <v>22.651661</v>
      </c>
      <c r="C6" t="n">
        <v/>
      </c>
      <c r="D6" t="n">
        <v>24.00299593</v>
      </c>
    </row>
    <row r="7">
      <c r="A7" t="n">
        <v>2010</v>
      </c>
      <c r="B7" t="n">
        <v>22.58783</v>
      </c>
      <c r="C7" t="n">
        <v/>
      </c>
      <c r="D7" t="n">
        <v>24.00692264</v>
      </c>
    </row>
    <row r="8">
      <c r="A8" t="n">
        <v>2011</v>
      </c>
      <c r="B8" t="n">
        <v>23.808158</v>
      </c>
      <c r="C8" t="n">
        <v/>
      </c>
      <c r="D8" t="n">
        <v>23.65102368</v>
      </c>
    </row>
    <row r="9">
      <c r="A9" t="n">
        <v>2012</v>
      </c>
      <c r="B9" t="n">
        <v>24.859235</v>
      </c>
      <c r="C9" t="n">
        <v/>
      </c>
      <c r="D9" t="n">
        <v>24.37460031</v>
      </c>
    </row>
    <row r="10">
      <c r="A10" t="n">
        <v>2013</v>
      </c>
      <c r="B10" t="n">
        <v>25.46468</v>
      </c>
      <c r="C10" t="n">
        <v/>
      </c>
      <c r="D10" t="n">
        <v>25.20108153</v>
      </c>
    </row>
    <row r="11">
      <c r="A11" t="n">
        <v>2014</v>
      </c>
      <c r="B11" t="n">
        <v>26.713817</v>
      </c>
      <c r="C11" t="n">
        <v/>
      </c>
      <c r="D11" t="n">
        <v>26.1404768</v>
      </c>
    </row>
    <row r="12">
      <c r="A12" t="n">
        <v>2015</v>
      </c>
      <c r="B12" t="n">
        <v>27.877971</v>
      </c>
      <c r="C12" t="n">
        <v/>
      </c>
      <c r="D12" t="n">
        <v>27.56493991</v>
      </c>
    </row>
    <row r="13">
      <c r="A13" t="n">
        <v>2016</v>
      </c>
      <c r="B13" t="n">
        <v>28.141409</v>
      </c>
      <c r="C13" t="n">
        <v/>
      </c>
      <c r="D13" t="n">
        <v>28.71144064</v>
      </c>
    </row>
    <row r="14">
      <c r="A14" t="n">
        <v>2017</v>
      </c>
      <c r="B14" t="n">
        <v>29.411726</v>
      </c>
      <c r="C14" t="n">
        <v/>
      </c>
      <c r="D14" t="n">
        <v>29.25289465</v>
      </c>
    </row>
    <row r="15">
      <c r="A15" t="n">
        <v>2018</v>
      </c>
      <c r="B15" t="n">
        <v/>
      </c>
      <c r="C15" t="n">
        <v>29.59355076797288</v>
      </c>
      <c r="D15" t="n">
        <v>29.6390818</v>
      </c>
      <c r="E15" t="n">
        <v>0.04553103202712094</v>
      </c>
    </row>
    <row r="16">
      <c r="A16" t="n">
        <v>2019</v>
      </c>
      <c r="B16" t="n">
        <v/>
      </c>
      <c r="C16" t="n">
        <v>29.93756643116372</v>
      </c>
      <c r="D16" t="n">
        <v>29.96535637</v>
      </c>
      <c r="E16" t="n">
        <v>0.02778993883627834</v>
      </c>
    </row>
    <row r="17">
      <c r="A17" t="n">
        <v>2020</v>
      </c>
      <c r="B17" t="n">
        <v/>
      </c>
      <c r="C17" t="n">
        <v>30.2849752535383</v>
      </c>
      <c r="D17" t="n">
        <v>30.28494709</v>
      </c>
      <c r="E17" t="n">
        <v>2.816353830326079e-05</v>
      </c>
    </row>
    <row r="18">
      <c r="A18" t="n">
        <v>2021</v>
      </c>
      <c r="B18" t="n">
        <v/>
      </c>
      <c r="C18" t="n">
        <v>30.63581120270469</v>
      </c>
      <c r="D18" t="n">
        <v>30.60169877</v>
      </c>
      <c r="E18" t="n">
        <v>0.034112432704692</v>
      </c>
    </row>
    <row r="19">
      <c r="A19" t="n">
        <v>2022</v>
      </c>
      <c r="B19" t="n">
        <v/>
      </c>
      <c r="C19" t="n">
        <v>30.99010860527187</v>
      </c>
      <c r="D19" t="n">
        <v>30.91626001</v>
      </c>
      <c r="E19" t="n">
        <v>0.07384859527187615</v>
      </c>
    </row>
    <row r="20">
      <c r="A20" t="n">
        <v>2023</v>
      </c>
      <c r="B20" t="n">
        <v/>
      </c>
      <c r="C20" t="n">
        <v>31.34790215000652</v>
      </c>
      <c r="D20" t="n">
        <v>31.22901713</v>
      </c>
      <c r="E20" t="n">
        <v>0.1188850200065197</v>
      </c>
    </row>
    <row r="21">
      <c r="A21" t="n">
        <v>2024</v>
      </c>
      <c r="B21" t="n">
        <v/>
      </c>
      <c r="C21" t="n">
        <v>31.70922689102822</v>
      </c>
      <c r="D21" t="n">
        <v>31.53970086</v>
      </c>
      <c r="E21" t="n">
        <v>0.1695260310282229</v>
      </c>
    </row>
    <row r="22">
      <c r="A22" t="n">
        <v>2025</v>
      </c>
      <c r="B22" t="n">
        <v/>
      </c>
      <c r="C22" t="n">
        <v>32.07411825104386</v>
      </c>
      <c r="D22" t="n">
        <v>31.8481962</v>
      </c>
      <c r="E22" t="n">
        <v>0.2259220510438631</v>
      </c>
    </row>
    <row r="23">
      <c r="A23" t="n">
        <v>2026</v>
      </c>
      <c r="B23" t="n">
        <v/>
      </c>
      <c r="C23" t="n">
        <v>32.44261202462121</v>
      </c>
      <c r="D23" t="n">
        <v>32.15527112</v>
      </c>
      <c r="E23" t="n">
        <v>0.2873409046212032</v>
      </c>
    </row>
    <row r="24">
      <c r="A24" t="n">
        <v>2027</v>
      </c>
      <c r="B24" t="n">
        <v/>
      </c>
      <c r="C24" t="n">
        <v>32.81474438150235</v>
      </c>
      <c r="D24" t="n">
        <v>32.46069268</v>
      </c>
      <c r="E24" t="n">
        <v>0.3540517015023497</v>
      </c>
    </row>
    <row r="25">
      <c r="A25" t="n">
        <v>2028</v>
      </c>
      <c r="B25" t="n">
        <v/>
      </c>
      <c r="C25" t="n">
        <v>33.19055186995724</v>
      </c>
      <c r="D25" t="n">
        <v>32.76372773</v>
      </c>
      <c r="E25" t="n">
        <v>0.4268241399572403</v>
      </c>
    </row>
    <row r="26">
      <c r="A26" t="n">
        <v>2029</v>
      </c>
      <c r="B26" t="n">
        <v/>
      </c>
      <c r="C26" t="n">
        <v>33.5700714201777</v>
      </c>
      <c r="D26" t="n">
        <v>33.06402176</v>
      </c>
      <c r="E26" t="n">
        <v>0.5060496601776947</v>
      </c>
    </row>
    <row r="27">
      <c r="A27" t="n">
        <v>2030</v>
      </c>
      <c r="B27" t="n">
        <v/>
      </c>
      <c r="C27" t="n">
        <v>33.95334034771232</v>
      </c>
      <c r="D27" t="n">
        <v>33.35978031</v>
      </c>
      <c r="E27" t="n">
        <v>0.5935600377123222</v>
      </c>
    </row>
    <row r="28">
      <c r="A28" t="n">
        <v>2031</v>
      </c>
      <c r="B28" t="n">
        <v/>
      </c>
      <c r="C28" t="n">
        <v>34.34039635694257</v>
      </c>
      <c r="D28" t="n">
        <v>33.64841293</v>
      </c>
      <c r="E28" t="n">
        <v>0.6919834269425706</v>
      </c>
    </row>
    <row r="29">
      <c r="A29" t="n">
        <v>2032</v>
      </c>
      <c r="B29" t="n">
        <v/>
      </c>
      <c r="C29" t="n">
        <v>34.73127754460057</v>
      </c>
      <c r="D29" t="n">
        <v>33.93347424</v>
      </c>
      <c r="E29" t="n">
        <v>0.7978033046005706</v>
      </c>
    </row>
    <row r="30">
      <c r="A30" t="n">
        <v>2033</v>
      </c>
      <c r="B30" t="n">
        <v/>
      </c>
      <c r="C30" t="n">
        <v>35.12602240332878</v>
      </c>
      <c r="D30" t="n">
        <v>34.21562881</v>
      </c>
      <c r="E30" t="n">
        <v>0.9103935933287772</v>
      </c>
    </row>
    <row r="31">
      <c r="A31" t="n">
        <v>2034</v>
      </c>
      <c r="B31" t="n">
        <v/>
      </c>
      <c r="C31" t="n">
        <v>35.52466982528207</v>
      </c>
      <c r="D31" t="n">
        <v>34.49507195</v>
      </c>
      <c r="E31" t="n">
        <v>1.029597875282064</v>
      </c>
    </row>
    <row r="32">
      <c r="A32" t="n">
        <v>2035</v>
      </c>
      <c r="B32" t="n">
        <v/>
      </c>
      <c r="C32" t="n">
        <v>35.92574531778027</v>
      </c>
      <c r="D32" t="n">
        <v>34.77112951</v>
      </c>
      <c r="E32" t="n">
        <v>1.154615807780267</v>
      </c>
    </row>
    <row r="33">
      <c r="A33" t="n">
        <v>2036</v>
      </c>
      <c r="B33" t="n">
        <v/>
      </c>
      <c r="C33" t="n">
        <v>36.28500277095806</v>
      </c>
      <c r="D33" t="n">
        <v>35.04235483</v>
      </c>
      <c r="E33" t="n">
        <v>1.242647940958058</v>
      </c>
    </row>
    <row r="34">
      <c r="A34" t="n">
        <v>2037</v>
      </c>
      <c r="B34" t="n">
        <v/>
      </c>
      <c r="C34" t="n">
        <v>36.64785279866765</v>
      </c>
      <c r="D34" t="n">
        <v>35.31070292</v>
      </c>
      <c r="E34" t="n">
        <v>1.337149878667653</v>
      </c>
    </row>
    <row r="35">
      <c r="A35" t="n">
        <v>2038</v>
      </c>
      <c r="B35" t="n">
        <v/>
      </c>
      <c r="C35" t="n">
        <v>37.01433132665432</v>
      </c>
      <c r="D35" t="n">
        <v>35.57660757</v>
      </c>
      <c r="E35" t="n">
        <v>1.437723756654322</v>
      </c>
    </row>
    <row r="36">
      <c r="A36" t="n">
        <v>2039</v>
      </c>
      <c r="B36" t="n">
        <v/>
      </c>
      <c r="C36" t="n">
        <v>37.38447463992087</v>
      </c>
      <c r="D36" t="n">
        <v>35.84080332</v>
      </c>
      <c r="E36" t="n">
        <v>1.543671319920868</v>
      </c>
    </row>
    <row r="37">
      <c r="A37" t="n">
        <v>2040</v>
      </c>
      <c r="B37" t="n">
        <v/>
      </c>
      <c r="C37" t="n">
        <v>37.75831938632008</v>
      </c>
      <c r="D37" t="n">
        <v>36.10358668</v>
      </c>
      <c r="E37" t="n">
        <v>1.654732706320083</v>
      </c>
    </row>
    <row r="38">
      <c r="A38" t="n">
        <v>2041</v>
      </c>
      <c r="B38" t="n">
        <v/>
      </c>
      <c r="C38" t="n">
        <v>38.13590258018328</v>
      </c>
      <c r="D38" t="n">
        <v>36.36275781</v>
      </c>
      <c r="E38" t="n">
        <v>1.773144770183279</v>
      </c>
    </row>
    <row r="39">
      <c r="A39" t="n">
        <v>2042</v>
      </c>
      <c r="B39" t="n">
        <v/>
      </c>
      <c r="C39" t="n">
        <v>38.51726160598511</v>
      </c>
      <c r="D39" t="n">
        <v>36.62046617</v>
      </c>
      <c r="E39" t="n">
        <v>1.896795435985112</v>
      </c>
    </row>
    <row r="40">
      <c r="A40" t="n">
        <v>2043</v>
      </c>
      <c r="B40" t="n">
        <v/>
      </c>
      <c r="C40" t="n">
        <v>38.90243422204496</v>
      </c>
      <c r="D40" t="n">
        <v>36.87658341</v>
      </c>
      <c r="E40" t="n">
        <v>2.025850812044958</v>
      </c>
    </row>
    <row r="41">
      <c r="A41" t="n">
        <v>2044</v>
      </c>
      <c r="B41" t="n">
        <v/>
      </c>
      <c r="C41" t="n">
        <v>39.2914585642654</v>
      </c>
      <c r="D41" t="n">
        <v>37.13130349</v>
      </c>
      <c r="E41" t="n">
        <v>2.160155074265404</v>
      </c>
    </row>
    <row r="42">
      <c r="A42" t="n">
        <v>2045</v>
      </c>
      <c r="B42" t="n">
        <v/>
      </c>
      <c r="C42" t="n">
        <v>39.68437314990807</v>
      </c>
      <c r="D42" t="n">
        <v>37.38504915</v>
      </c>
      <c r="E42" t="n">
        <v>2.299323999908069</v>
      </c>
    </row>
    <row r="43">
      <c r="A43" t="n">
        <v>2046</v>
      </c>
      <c r="B43" t="n">
        <v/>
      </c>
      <c r="C43" t="n">
        <v>40.08121688140715</v>
      </c>
      <c r="D43" t="n">
        <v>37.63807586</v>
      </c>
      <c r="E43" t="n">
        <v>2.443141021407151</v>
      </c>
    </row>
    <row r="44">
      <c r="A44" t="n">
        <v>2047</v>
      </c>
      <c r="B44" t="n">
        <v/>
      </c>
      <c r="C44" t="n">
        <v>40.48202905022122</v>
      </c>
      <c r="D44" t="n">
        <v>37.89009397</v>
      </c>
      <c r="E44" t="n">
        <v>2.591935080221219</v>
      </c>
    </row>
    <row r="45">
      <c r="A45" t="n">
        <v>2048</v>
      </c>
      <c r="B45" t="n">
        <v/>
      </c>
      <c r="C45" t="n">
        <v>40.88684934072344</v>
      </c>
      <c r="D45" t="n">
        <v>38.14061152</v>
      </c>
      <c r="E45" t="n">
        <v>2.746237820723437</v>
      </c>
    </row>
    <row r="46">
      <c r="A46" t="n">
        <v>2049</v>
      </c>
      <c r="B46" t="n">
        <v/>
      </c>
      <c r="C46" t="n">
        <v>41.29571783413066</v>
      </c>
      <c r="D46" t="n">
        <v>38.38980465</v>
      </c>
      <c r="E46" t="n">
        <v>2.905913184130661</v>
      </c>
    </row>
    <row r="47">
      <c r="A47" t="n">
        <v>2050</v>
      </c>
      <c r="B47" t="n">
        <v/>
      </c>
      <c r="C47" t="n">
        <v/>
      </c>
      <c r="D47" t="n">
        <v>38.47256671</v>
      </c>
    </row>
    <row r="49">
      <c r="A49" t="inlineStr">
        <is>
          <t>Metriques (Julia vs Excel)</t>
        </is>
      </c>
    </row>
    <row r="50">
      <c r="A50" t="inlineStr">
        <is>
          <t>MAE</t>
        </is>
      </c>
      <c r="B50" t="n">
        <v>1.109571453679757</v>
      </c>
    </row>
    <row r="51">
      <c r="A51" t="inlineStr">
        <is>
          <t>RMSE</t>
        </is>
      </c>
      <c r="B51" t="n">
        <v>1.429945483842696</v>
      </c>
    </row>
    <row r="52">
      <c r="A52" t="inlineStr">
        <is>
          <t>MAPE (%)</t>
        </is>
      </c>
      <c r="B52" t="n">
        <v>3.064951087060282</v>
      </c>
    </row>
    <row r="53">
      <c r="A53" t="inlineStr">
        <is>
          <t>N (annees)</t>
        </is>
      </c>
      <c r="B53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Annee</t>
        </is>
      </c>
      <c r="B1" t="inlineStr">
        <is>
          <t>Historique</t>
        </is>
      </c>
      <c r="C1" t="inlineStr">
        <is>
          <t>Julia</t>
        </is>
      </c>
      <c r="D1" t="inlineStr">
        <is>
          <t>Excel</t>
        </is>
      </c>
      <c r="E1" t="inlineStr">
        <is>
          <t>abs_error</t>
        </is>
      </c>
    </row>
    <row r="2">
      <c r="A2" t="n">
        <v>2005</v>
      </c>
      <c r="B2" t="n">
        <v>20.885504</v>
      </c>
      <c r="C2" t="n">
        <v/>
      </c>
      <c r="D2" t="n">
        <v>20.885504</v>
      </c>
    </row>
    <row r="3">
      <c r="A3" t="n">
        <v>2006</v>
      </c>
      <c r="B3" t="n">
        <v>20.826152</v>
      </c>
      <c r="C3" t="n">
        <v/>
      </c>
      <c r="D3" t="n">
        <v>20.826152</v>
      </c>
    </row>
    <row r="4">
      <c r="A4" t="n">
        <v>2007</v>
      </c>
      <c r="B4" t="n">
        <v>21.926944</v>
      </c>
      <c r="C4" t="n">
        <v/>
      </c>
      <c r="D4" t="n">
        <v>21.926944</v>
      </c>
    </row>
    <row r="5">
      <c r="A5" t="n">
        <v>2008</v>
      </c>
      <c r="B5" t="n">
        <v>21.922236</v>
      </c>
      <c r="C5" t="n">
        <v/>
      </c>
      <c r="D5" t="n">
        <v>21.922236</v>
      </c>
    </row>
    <row r="6">
      <c r="A6" t="n">
        <v>2009</v>
      </c>
      <c r="B6" t="n">
        <v>22.651661</v>
      </c>
      <c r="C6" t="n">
        <v/>
      </c>
      <c r="D6" t="n">
        <v>22.651661</v>
      </c>
    </row>
    <row r="7">
      <c r="A7" t="n">
        <v>2010</v>
      </c>
      <c r="B7" t="n">
        <v>22.58783</v>
      </c>
      <c r="C7" t="n">
        <v/>
      </c>
      <c r="D7" t="n">
        <v>22.58783</v>
      </c>
    </row>
    <row r="8">
      <c r="A8" t="n">
        <v>2011</v>
      </c>
      <c r="B8" t="n">
        <v>23.808158</v>
      </c>
      <c r="C8" t="n">
        <v/>
      </c>
      <c r="D8" t="n">
        <v>23.808158</v>
      </c>
    </row>
    <row r="9">
      <c r="A9" t="n">
        <v>2012</v>
      </c>
      <c r="B9" t="n">
        <v>24.859235</v>
      </c>
      <c r="C9" t="n">
        <v/>
      </c>
      <c r="D9" t="n">
        <v>24.859235</v>
      </c>
    </row>
    <row r="10">
      <c r="A10" t="n">
        <v>2013</v>
      </c>
      <c r="B10" t="n">
        <v>25.46468</v>
      </c>
      <c r="C10" t="n">
        <v/>
      </c>
      <c r="D10" t="n">
        <v>25.46468</v>
      </c>
    </row>
    <row r="11">
      <c r="A11" t="n">
        <v>2014</v>
      </c>
      <c r="B11" t="n">
        <v>26.713817</v>
      </c>
      <c r="C11" t="n">
        <v/>
      </c>
      <c r="D11" t="n">
        <v>26.713817</v>
      </c>
    </row>
    <row r="12">
      <c r="A12" t="n">
        <v>2015</v>
      </c>
      <c r="B12" t="n">
        <v>27.877971</v>
      </c>
      <c r="C12" t="n">
        <v/>
      </c>
      <c r="D12" t="n">
        <v>27.877971</v>
      </c>
    </row>
    <row r="13">
      <c r="A13" t="n">
        <v>2016</v>
      </c>
      <c r="B13" t="n">
        <v>28.141409</v>
      </c>
      <c r="C13" t="n">
        <v/>
      </c>
      <c r="D13" t="n">
        <v>28.141409</v>
      </c>
    </row>
    <row r="14">
      <c r="A14" t="n">
        <v>2017</v>
      </c>
      <c r="B14" t="n">
        <v>29.411726</v>
      </c>
      <c r="C14" t="n">
        <v/>
      </c>
      <c r="D14" t="n">
        <v>29.411726</v>
      </c>
    </row>
    <row r="15">
      <c r="A15" t="n">
        <v>2018</v>
      </c>
      <c r="B15" t="n">
        <v/>
      </c>
      <c r="C15" t="n">
        <v>35.21897627781964</v>
      </c>
      <c r="D15" t="n">
        <v>30.59493561</v>
      </c>
      <c r="E15" t="n">
        <v>4.624040667819635</v>
      </c>
    </row>
    <row r="16">
      <c r="A16" t="n">
        <v>2019</v>
      </c>
      <c r="B16" t="n">
        <v/>
      </c>
      <c r="C16" t="n">
        <v>35.75418205347747</v>
      </c>
      <c r="D16" t="n">
        <v>31.48642382</v>
      </c>
      <c r="E16" t="n">
        <v>4.267758233477473</v>
      </c>
    </row>
    <row r="17">
      <c r="A17" t="n">
        <v>2020</v>
      </c>
      <c r="B17" t="n">
        <v/>
      </c>
      <c r="C17" t="n">
        <v>36.29477542398178</v>
      </c>
      <c r="D17" t="n">
        <v>32.07577992</v>
      </c>
      <c r="E17" t="n">
        <v>4.218995503981773</v>
      </c>
    </row>
    <row r="18">
      <c r="A18" t="n">
        <v>2021</v>
      </c>
      <c r="B18" t="n">
        <v/>
      </c>
      <c r="C18" t="n">
        <v>36.8408102721814</v>
      </c>
      <c r="D18" t="n">
        <v>32.73073987</v>
      </c>
      <c r="E18" t="n">
        <v>4.1100704021814</v>
      </c>
    </row>
    <row r="19">
      <c r="A19" t="n">
        <v>2022</v>
      </c>
      <c r="B19" t="n">
        <v/>
      </c>
      <c r="C19" t="n">
        <v>37.39234101975506</v>
      </c>
      <c r="D19" t="n">
        <v>33.45657198</v>
      </c>
      <c r="E19" t="n">
        <v>3.935769039755058</v>
      </c>
    </row>
    <row r="20">
      <c r="A20" t="n">
        <v>2023</v>
      </c>
      <c r="B20" t="n">
        <v/>
      </c>
      <c r="C20" t="n">
        <v>37.94942263259957</v>
      </c>
      <c r="D20" t="n">
        <v>34.20543838</v>
      </c>
      <c r="E20" t="n">
        <v>3.743984252599574</v>
      </c>
    </row>
    <row r="21">
      <c r="A21" t="n">
        <v>2024</v>
      </c>
      <c r="B21" t="n">
        <v/>
      </c>
      <c r="C21" t="n">
        <v>38.51211062627206</v>
      </c>
      <c r="D21" t="n">
        <v>34.96278978</v>
      </c>
      <c r="E21" t="n">
        <v>3.54932084627206</v>
      </c>
    </row>
    <row r="22">
      <c r="A22" t="n">
        <v>2025</v>
      </c>
      <c r="B22" t="n">
        <v/>
      </c>
      <c r="C22" t="n">
        <v>39.0804610714866</v>
      </c>
      <c r="D22" t="n">
        <v>35.72979335</v>
      </c>
      <c r="E22" t="n">
        <v>3.350667721486602</v>
      </c>
    </row>
    <row r="23">
      <c r="A23" t="n">
        <v>2026</v>
      </c>
      <c r="B23" t="n">
        <v/>
      </c>
      <c r="C23" t="n">
        <v>39.65453059966568</v>
      </c>
      <c r="D23" t="n">
        <v>36.50737913</v>
      </c>
      <c r="E23" t="n">
        <v>3.14715146966568</v>
      </c>
    </row>
    <row r="24">
      <c r="A24" t="n">
        <v>2027</v>
      </c>
      <c r="B24" t="n">
        <v/>
      </c>
      <c r="C24" t="n">
        <v>40.23437640854745</v>
      </c>
      <c r="D24" t="n">
        <v>37.2963747</v>
      </c>
      <c r="E24" t="n">
        <v>2.938001708547453</v>
      </c>
    </row>
    <row r="25">
      <c r="A25" t="n">
        <v>2028</v>
      </c>
      <c r="B25" t="n">
        <v/>
      </c>
      <c r="C25" t="n">
        <v>40.82005626784866</v>
      </c>
      <c r="D25" t="n">
        <v>38.09291624</v>
      </c>
      <c r="E25" t="n">
        <v>2.727140027848662</v>
      </c>
    </row>
    <row r="26">
      <c r="A26" t="n">
        <v>2029</v>
      </c>
      <c r="B26" t="n">
        <v/>
      </c>
      <c r="C26" t="n">
        <v>41.41162852498469</v>
      </c>
      <c r="D26" t="n">
        <v>38.89314279</v>
      </c>
      <c r="E26" t="n">
        <v>2.518485734984694</v>
      </c>
    </row>
    <row r="27">
      <c r="A27" t="n">
        <v>2030</v>
      </c>
      <c r="B27" t="n">
        <v/>
      </c>
      <c r="C27" t="n">
        <v>42.00915211084634</v>
      </c>
      <c r="D27" t="n">
        <v>39.6971468</v>
      </c>
      <c r="E27" t="n">
        <v>2.312005310846338</v>
      </c>
    </row>
    <row r="28">
      <c r="A28" t="n">
        <v>2031</v>
      </c>
      <c r="B28" t="n">
        <v/>
      </c>
      <c r="C28" t="n">
        <v>42.61268654563469</v>
      </c>
      <c r="D28" t="n">
        <v>40.49290693</v>
      </c>
      <c r="E28" t="n">
        <v>2.119779615634698</v>
      </c>
    </row>
    <row r="29">
      <c r="A29" t="n">
        <v>2032</v>
      </c>
      <c r="B29" t="n">
        <v/>
      </c>
      <c r="C29" t="n">
        <v>43.22229194475416</v>
      </c>
      <c r="D29" t="n">
        <v>41.29688804</v>
      </c>
      <c r="E29" t="n">
        <v>1.925403904754162</v>
      </c>
    </row>
    <row r="30">
      <c r="A30" t="n">
        <v>2033</v>
      </c>
      <c r="B30" t="n">
        <v/>
      </c>
      <c r="C30" t="n">
        <v>43.83802902476458</v>
      </c>
      <c r="D30" t="n">
        <v>42.10726947</v>
      </c>
      <c r="E30" t="n">
        <v>1.730759554764582</v>
      </c>
    </row>
    <row r="31">
      <c r="A31" t="n">
        <v>2034</v>
      </c>
      <c r="B31" t="n">
        <v/>
      </c>
      <c r="C31" t="n">
        <v>44.45995910939267</v>
      </c>
      <c r="D31" t="n">
        <v>42.91390963</v>
      </c>
      <c r="E31" t="n">
        <v>1.546049479392671</v>
      </c>
    </row>
    <row r="32">
      <c r="A32" t="n">
        <v>2035</v>
      </c>
      <c r="B32" t="n">
        <v/>
      </c>
      <c r="C32" t="n">
        <v>45.08814413560384</v>
      </c>
      <c r="D32" t="n">
        <v>43.71454572</v>
      </c>
      <c r="E32" t="n">
        <v>1.373598415603844</v>
      </c>
    </row>
    <row r="33">
      <c r="A33" t="n">
        <v>2036</v>
      </c>
      <c r="B33" t="n">
        <v/>
      </c>
      <c r="C33" t="n">
        <v>45.72264665973438</v>
      </c>
      <c r="D33" t="n">
        <v>44.50672301</v>
      </c>
      <c r="E33" t="n">
        <v>1.215923649734378</v>
      </c>
    </row>
    <row r="34">
      <c r="A34" t="n">
        <v>2037</v>
      </c>
      <c r="B34" t="n">
        <v/>
      </c>
      <c r="C34" t="n">
        <v>46.36352986368543</v>
      </c>
      <c r="D34" t="n">
        <v>45.29153668</v>
      </c>
      <c r="E34" t="n">
        <v>1.071993183685429</v>
      </c>
    </row>
    <row r="35">
      <c r="A35" t="n">
        <v>2038</v>
      </c>
      <c r="B35" t="n">
        <v/>
      </c>
      <c r="C35" t="n">
        <v>47.01085756117838</v>
      </c>
      <c r="D35" t="n">
        <v>46.06896704</v>
      </c>
      <c r="E35" t="n">
        <v>0.9418905211783866</v>
      </c>
    </row>
    <row r="36">
      <c r="A36" t="n">
        <v>2039</v>
      </c>
      <c r="B36" t="n">
        <v/>
      </c>
      <c r="C36" t="n">
        <v>47.66469420407325</v>
      </c>
      <c r="D36" t="n">
        <v>46.83859648</v>
      </c>
      <c r="E36" t="n">
        <v>0.8260977240732501</v>
      </c>
    </row>
    <row r="37">
      <c r="A37" t="n">
        <v>2040</v>
      </c>
      <c r="B37" t="n">
        <v/>
      </c>
      <c r="C37" t="n">
        <v>48.32510488874991</v>
      </c>
      <c r="D37" t="n">
        <v>47.60288143</v>
      </c>
      <c r="E37" t="n">
        <v>0.7222234587499159</v>
      </c>
    </row>
    <row r="38">
      <c r="A38" t="n">
        <v>2041</v>
      </c>
      <c r="B38" t="n">
        <v/>
      </c>
      <c r="C38" t="n">
        <v>48.99215536255348</v>
      </c>
      <c r="D38" t="n">
        <v>48.36179709</v>
      </c>
      <c r="E38" t="n">
        <v>0.6303582725534795</v>
      </c>
    </row>
    <row r="39">
      <c r="A39" t="n">
        <v>2042</v>
      </c>
      <c r="B39" t="n">
        <v/>
      </c>
      <c r="C39" t="n">
        <v>49.66591203030381</v>
      </c>
      <c r="D39" t="n">
        <v>49.11294854</v>
      </c>
      <c r="E39" t="n">
        <v>0.5529634903038101</v>
      </c>
    </row>
    <row r="40">
      <c r="A40" t="n">
        <v>2043</v>
      </c>
      <c r="B40" t="n">
        <v/>
      </c>
      <c r="C40" t="n">
        <v>50.34644196087028</v>
      </c>
      <c r="D40" t="n">
        <v>49.85658789</v>
      </c>
      <c r="E40" t="n">
        <v>0.4898540708702797</v>
      </c>
    </row>
    <row r="41">
      <c r="A41" t="n">
        <v>2044</v>
      </c>
      <c r="B41" t="n">
        <v/>
      </c>
      <c r="C41" t="n">
        <v>51.03381289381238</v>
      </c>
      <c r="D41" t="n">
        <v>50.59268274</v>
      </c>
      <c r="E41" t="n">
        <v>0.4411301538123809</v>
      </c>
    </row>
    <row r="42">
      <c r="A42" t="n">
        <v>2045</v>
      </c>
      <c r="B42" t="n">
        <v/>
      </c>
      <c r="C42" t="n">
        <v>51.7280932460865</v>
      </c>
      <c r="D42" t="n">
        <v>51.32202602</v>
      </c>
      <c r="E42" t="n">
        <v>0.406067226086499</v>
      </c>
    </row>
    <row r="43">
      <c r="A43" t="n">
        <v>2046</v>
      </c>
      <c r="B43" t="n">
        <v/>
      </c>
      <c r="C43" t="n">
        <v>52.42935211881992</v>
      </c>
      <c r="D43" t="n">
        <v>52.04553605</v>
      </c>
      <c r="E43" t="n">
        <v>0.3838160688199181</v>
      </c>
    </row>
    <row r="44">
      <c r="A44" t="n">
        <v>2047</v>
      </c>
      <c r="B44" t="n">
        <v/>
      </c>
      <c r="C44" t="n">
        <v>53.13765930415258</v>
      </c>
      <c r="D44" t="n">
        <v>52.76300285</v>
      </c>
      <c r="E44" t="n">
        <v>0.3746564541525785</v>
      </c>
    </row>
    <row r="45">
      <c r="A45" t="n">
        <v>2048</v>
      </c>
      <c r="B45" t="n">
        <v/>
      </c>
      <c r="C45" t="n">
        <v>53.85308529214714</v>
      </c>
      <c r="D45" t="n">
        <v>53.47467845</v>
      </c>
      <c r="E45" t="n">
        <v>0.3784068421471432</v>
      </c>
    </row>
    <row r="46">
      <c r="A46" t="n">
        <v>2049</v>
      </c>
      <c r="B46" t="n">
        <v/>
      </c>
      <c r="C46" t="n">
        <v>54.57570127776824</v>
      </c>
      <c r="D46" t="n">
        <v>54.18131997</v>
      </c>
      <c r="E46" t="n">
        <v>0.3943813077682421</v>
      </c>
    </row>
    <row r="47">
      <c r="A47" t="n">
        <v>2050</v>
      </c>
      <c r="B47" t="n">
        <v/>
      </c>
      <c r="C47" t="n">
        <v/>
      </c>
      <c r="D47" t="n">
        <v>54.87679861</v>
      </c>
    </row>
    <row r="49">
      <c r="A49" t="inlineStr">
        <is>
          <t>Metriques (Julia vs Excel)</t>
        </is>
      </c>
    </row>
    <row r="50">
      <c r="A50" t="inlineStr">
        <is>
          <t>MAE</t>
        </is>
      </c>
      <c r="B50" t="n">
        <v>1.967773259798502</v>
      </c>
    </row>
    <row r="51">
      <c r="A51" t="inlineStr">
        <is>
          <t>RMSE</t>
        </is>
      </c>
      <c r="B51" t="n">
        <v>2.419732312420464</v>
      </c>
    </row>
    <row r="52">
      <c r="A52" t="inlineStr">
        <is>
          <t>MAPE (%)</t>
        </is>
      </c>
      <c r="B52" t="n">
        <v>5.365904678291968</v>
      </c>
    </row>
    <row r="53">
      <c r="A53" t="inlineStr">
        <is>
          <t>N (annees)</t>
        </is>
      </c>
      <c r="B53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Annee</t>
        </is>
      </c>
      <c r="B1" t="inlineStr">
        <is>
          <t>Historique</t>
        </is>
      </c>
      <c r="C1" t="inlineStr">
        <is>
          <t>Julia</t>
        </is>
      </c>
      <c r="D1" t="inlineStr">
        <is>
          <t>Excel</t>
        </is>
      </c>
      <c r="E1" t="inlineStr">
        <is>
          <t>abs_error</t>
        </is>
      </c>
    </row>
    <row r="2">
      <c r="A2" t="n">
        <v>2005</v>
      </c>
      <c r="B2" t="n">
        <v>20.885504</v>
      </c>
      <c r="C2" t="n">
        <v/>
      </c>
      <c r="D2" t="n">
        <v>20.885504</v>
      </c>
    </row>
    <row r="3">
      <c r="A3" t="n">
        <v>2006</v>
      </c>
      <c r="B3" t="n">
        <v>20.826152</v>
      </c>
      <c r="C3" t="n">
        <v/>
      </c>
      <c r="D3" t="n">
        <v>20.826152</v>
      </c>
    </row>
    <row r="4">
      <c r="A4" t="n">
        <v>2007</v>
      </c>
      <c r="B4" t="n">
        <v>21.926944</v>
      </c>
      <c r="C4" t="n">
        <v/>
      </c>
      <c r="D4" t="n">
        <v>21.926944</v>
      </c>
    </row>
    <row r="5">
      <c r="A5" t="n">
        <v>2008</v>
      </c>
      <c r="B5" t="n">
        <v>21.922236</v>
      </c>
      <c r="C5" t="n">
        <v/>
      </c>
      <c r="D5" t="n">
        <v>21.922236</v>
      </c>
    </row>
    <row r="6">
      <c r="A6" t="n">
        <v>2009</v>
      </c>
      <c r="B6" t="n">
        <v>22.651661</v>
      </c>
      <c r="C6" t="n">
        <v/>
      </c>
      <c r="D6" t="n">
        <v>22.651661</v>
      </c>
    </row>
    <row r="7">
      <c r="A7" t="n">
        <v>2010</v>
      </c>
      <c r="B7" t="n">
        <v>22.58783</v>
      </c>
      <c r="C7" t="n">
        <v/>
      </c>
      <c r="D7" t="n">
        <v>22.58783</v>
      </c>
    </row>
    <row r="8">
      <c r="A8" t="n">
        <v>2011</v>
      </c>
      <c r="B8" t="n">
        <v>23.808158</v>
      </c>
      <c r="C8" t="n">
        <v/>
      </c>
      <c r="D8" t="n">
        <v>23.808158</v>
      </c>
    </row>
    <row r="9">
      <c r="A9" t="n">
        <v>2012</v>
      </c>
      <c r="B9" t="n">
        <v>24.859235</v>
      </c>
      <c r="C9" t="n">
        <v/>
      </c>
      <c r="D9" t="n">
        <v>24.859235</v>
      </c>
    </row>
    <row r="10">
      <c r="A10" t="n">
        <v>2013</v>
      </c>
      <c r="B10" t="n">
        <v>25.46468</v>
      </c>
      <c r="C10" t="n">
        <v/>
      </c>
      <c r="D10" t="n">
        <v>25.46468</v>
      </c>
    </row>
    <row r="11">
      <c r="A11" t="n">
        <v>2014</v>
      </c>
      <c r="B11" t="n">
        <v>26.713817</v>
      </c>
      <c r="C11" t="n">
        <v/>
      </c>
      <c r="D11" t="n">
        <v>26.713817</v>
      </c>
    </row>
    <row r="12">
      <c r="A12" t="n">
        <v>2015</v>
      </c>
      <c r="B12" t="n">
        <v>27.877971</v>
      </c>
      <c r="C12" t="n">
        <v/>
      </c>
      <c r="D12" t="n">
        <v>27.877971</v>
      </c>
    </row>
    <row r="13">
      <c r="A13" t="n">
        <v>2016</v>
      </c>
      <c r="B13" t="n">
        <v>28.141409</v>
      </c>
      <c r="C13" t="n">
        <v/>
      </c>
      <c r="D13" t="n">
        <v>28.141409</v>
      </c>
    </row>
    <row r="14">
      <c r="A14" t="n">
        <v>2017</v>
      </c>
      <c r="B14" t="n">
        <v>29.411726</v>
      </c>
      <c r="C14" t="n">
        <v/>
      </c>
      <c r="D14" t="n">
        <v>29.411726</v>
      </c>
    </row>
    <row r="15">
      <c r="A15" t="n">
        <v>2018</v>
      </c>
      <c r="B15" t="n">
        <v/>
      </c>
      <c r="C15" t="n">
        <v>29.85635669863189</v>
      </c>
      <c r="D15" t="n">
        <v>30.59493561</v>
      </c>
      <c r="E15" t="n">
        <v>0.7385789113681085</v>
      </c>
    </row>
    <row r="16">
      <c r="A16" t="n">
        <v>2019</v>
      </c>
      <c r="B16" t="n">
        <v/>
      </c>
      <c r="C16" t="n">
        <v>30.47409365318908</v>
      </c>
      <c r="D16" t="n">
        <v>31.48642382</v>
      </c>
      <c r="E16" t="n">
        <v>1.012330166810919</v>
      </c>
    </row>
    <row r="17">
      <c r="A17" t="n">
        <v>2020</v>
      </c>
      <c r="B17" t="n">
        <v/>
      </c>
      <c r="C17" t="n">
        <v>31.10086959711751</v>
      </c>
      <c r="D17" t="n">
        <v>32.07577992</v>
      </c>
      <c r="E17" t="n">
        <v>0.9749103228824971</v>
      </c>
    </row>
    <row r="18">
      <c r="A18" t="n">
        <v>2021</v>
      </c>
      <c r="B18" t="n">
        <v/>
      </c>
      <c r="C18" t="n">
        <v>31.73680347240933</v>
      </c>
      <c r="D18" t="n">
        <v>32.73073987</v>
      </c>
      <c r="E18" t="n">
        <v>0.9939363975906694</v>
      </c>
    </row>
    <row r="19">
      <c r="A19" t="n">
        <v>2022</v>
      </c>
      <c r="B19" t="n">
        <v/>
      </c>
      <c r="C19" t="n">
        <v>32.38201569598518</v>
      </c>
      <c r="D19" t="n">
        <v>33.45657198</v>
      </c>
      <c r="E19" t="n">
        <v>1.074556284014818</v>
      </c>
    </row>
    <row r="20">
      <c r="A20" t="n">
        <v>2023</v>
      </c>
      <c r="B20" t="n">
        <v/>
      </c>
      <c r="C20" t="n">
        <v>33.03662817729847</v>
      </c>
      <c r="D20" t="n">
        <v>34.20543838</v>
      </c>
      <c r="E20" t="n">
        <v>1.168810202701522</v>
      </c>
    </row>
    <row r="21">
      <c r="A21" t="n">
        <v>2024</v>
      </c>
      <c r="B21" t="n">
        <v/>
      </c>
      <c r="C21" t="n">
        <v>33.70076433614444</v>
      </c>
      <c r="D21" t="n">
        <v>34.96278978</v>
      </c>
      <c r="E21" t="n">
        <v>1.262025443855563</v>
      </c>
    </row>
    <row r="22">
      <c r="A22" t="n">
        <v>2025</v>
      </c>
      <c r="B22" t="n">
        <v/>
      </c>
      <c r="C22" t="n">
        <v>34.37454912067601</v>
      </c>
      <c r="D22" t="n">
        <v>35.72979335</v>
      </c>
      <c r="E22" t="n">
        <v>1.355244229323993</v>
      </c>
    </row>
    <row r="23">
      <c r="A23" t="n">
        <v>2026</v>
      </c>
      <c r="B23" t="n">
        <v/>
      </c>
      <c r="C23" t="n">
        <v>35.05810902562891</v>
      </c>
      <c r="D23" t="n">
        <v>36.50737913</v>
      </c>
      <c r="E23" t="n">
        <v>1.449270104371088</v>
      </c>
    </row>
    <row r="24">
      <c r="A24" t="n">
        <v>2027</v>
      </c>
      <c r="B24" t="n">
        <v/>
      </c>
      <c r="C24" t="n">
        <v>35.75157211075859</v>
      </c>
      <c r="D24" t="n">
        <v>37.2963747</v>
      </c>
      <c r="E24" t="n">
        <v>1.544802589241407</v>
      </c>
    </row>
    <row r="25">
      <c r="A25" t="n">
        <v>2028</v>
      </c>
      <c r="B25" t="n">
        <v/>
      </c>
      <c r="C25" t="n">
        <v>36.4550680194911</v>
      </c>
      <c r="D25" t="n">
        <v>38.09291624</v>
      </c>
      <c r="E25" t="n">
        <v>1.6378482205089</v>
      </c>
    </row>
    <row r="26">
      <c r="A26" t="n">
        <v>2029</v>
      </c>
      <c r="B26" t="n">
        <v/>
      </c>
      <c r="C26" t="n">
        <v>37.16872799779055</v>
      </c>
      <c r="D26" t="n">
        <v>38.89314279</v>
      </c>
      <c r="E26" t="n">
        <v>1.724414792209451</v>
      </c>
    </row>
    <row r="27">
      <c r="A27" t="n">
        <v>2030</v>
      </c>
      <c r="B27" t="n">
        <v/>
      </c>
      <c r="C27" t="n">
        <v>37.89268491324544</v>
      </c>
      <c r="D27" t="n">
        <v>39.6971468</v>
      </c>
      <c r="E27" t="n">
        <v>1.804461886754559</v>
      </c>
    </row>
    <row r="28">
      <c r="A28" t="n">
        <v>2031</v>
      </c>
      <c r="B28" t="n">
        <v/>
      </c>
      <c r="C28" t="n">
        <v>38.62707327437671</v>
      </c>
      <c r="D28" t="n">
        <v>40.49290693</v>
      </c>
      <c r="E28" t="n">
        <v>1.865833655623284</v>
      </c>
    </row>
    <row r="29">
      <c r="A29" t="n">
        <v>2032</v>
      </c>
      <c r="B29" t="n">
        <v/>
      </c>
      <c r="C29" t="n">
        <v>39.37202925016943</v>
      </c>
      <c r="D29" t="n">
        <v>41.29688804</v>
      </c>
      <c r="E29" t="n">
        <v>1.924858789830566</v>
      </c>
    </row>
    <row r="30">
      <c r="A30" t="n">
        <v>2033</v>
      </c>
      <c r="B30" t="n">
        <v/>
      </c>
      <c r="C30" t="n">
        <v>40.12769068983142</v>
      </c>
      <c r="D30" t="n">
        <v>42.10726947</v>
      </c>
      <c r="E30" t="n">
        <v>1.97957878016858</v>
      </c>
    </row>
    <row r="31">
      <c r="A31" t="n">
        <v>2034</v>
      </c>
      <c r="B31" t="n">
        <v/>
      </c>
      <c r="C31" t="n">
        <v>40.89419714278066</v>
      </c>
      <c r="D31" t="n">
        <v>42.91390963</v>
      </c>
      <c r="E31" t="n">
        <v>2.019712487219337</v>
      </c>
    </row>
    <row r="32">
      <c r="A32" t="n">
        <v>2035</v>
      </c>
      <c r="B32" t="n">
        <v/>
      </c>
      <c r="C32" t="n">
        <v>41.67168987886464</v>
      </c>
      <c r="D32" t="n">
        <v>43.71454572</v>
      </c>
      <c r="E32" t="n">
        <v>2.042855841135356</v>
      </c>
    </row>
    <row r="33">
      <c r="A33" t="n">
        <v>2036</v>
      </c>
      <c r="B33" t="n">
        <v/>
      </c>
      <c r="C33" t="n">
        <v>42.460311908814</v>
      </c>
      <c r="D33" t="n">
        <v>44.50672301</v>
      </c>
      <c r="E33" t="n">
        <v>2.046411101186003</v>
      </c>
    </row>
    <row r="34">
      <c r="A34" t="n">
        <v>2037</v>
      </c>
      <c r="B34" t="n">
        <v/>
      </c>
      <c r="C34" t="n">
        <v>43.26020800493317</v>
      </c>
      <c r="D34" t="n">
        <v>45.29153668</v>
      </c>
      <c r="E34" t="n">
        <v>2.031328675066831</v>
      </c>
    </row>
    <row r="35">
      <c r="A35" t="n">
        <v>2038</v>
      </c>
      <c r="B35" t="n">
        <v/>
      </c>
      <c r="C35" t="n">
        <v>44.07152472203085</v>
      </c>
      <c r="D35" t="n">
        <v>46.06896704</v>
      </c>
      <c r="E35" t="n">
        <v>1.997442317969146</v>
      </c>
    </row>
    <row r="36">
      <c r="A36" t="n">
        <v>2039</v>
      </c>
      <c r="B36" t="n">
        <v/>
      </c>
      <c r="C36" t="n">
        <v>44.89441041859273</v>
      </c>
      <c r="D36" t="n">
        <v>46.83859648</v>
      </c>
      <c r="E36" t="n">
        <v>1.944186061407265</v>
      </c>
    </row>
    <row r="37">
      <c r="A37" t="n">
        <v>2040</v>
      </c>
      <c r="B37" t="n">
        <v/>
      </c>
      <c r="C37" t="n">
        <v>45.72901527819973</v>
      </c>
      <c r="D37" t="n">
        <v>47.60288143</v>
      </c>
      <c r="E37" t="n">
        <v>1.873866151800271</v>
      </c>
    </row>
    <row r="38">
      <c r="A38" t="n">
        <v>2041</v>
      </c>
      <c r="B38" t="n">
        <v/>
      </c>
      <c r="C38" t="n">
        <v>46.57549133119382</v>
      </c>
      <c r="D38" t="n">
        <v>48.36179709</v>
      </c>
      <c r="E38" t="n">
        <v>1.786305758806186</v>
      </c>
    </row>
    <row r="39">
      <c r="A39" t="n">
        <v>2042</v>
      </c>
      <c r="B39" t="n">
        <v/>
      </c>
      <c r="C39" t="n">
        <v>47.43399247659512</v>
      </c>
      <c r="D39" t="n">
        <v>49.11294854</v>
      </c>
      <c r="E39" t="n">
        <v>1.678956063404875</v>
      </c>
    </row>
    <row r="40">
      <c r="A40" t="n">
        <v>2043</v>
      </c>
      <c r="B40" t="n">
        <v/>
      </c>
      <c r="C40" t="n">
        <v>48.30467450427228</v>
      </c>
      <c r="D40" t="n">
        <v>49.85658789</v>
      </c>
      <c r="E40" t="n">
        <v>1.551913385727715</v>
      </c>
    </row>
    <row r="41">
      <c r="A41" t="n">
        <v>2044</v>
      </c>
      <c r="B41" t="n">
        <v/>
      </c>
      <c r="C41" t="n">
        <v>49.18769511736955</v>
      </c>
      <c r="D41" t="n">
        <v>50.59268274</v>
      </c>
      <c r="E41" t="n">
        <v>1.404987622630451</v>
      </c>
    </row>
    <row r="42">
      <c r="A42" t="n">
        <v>2045</v>
      </c>
      <c r="B42" t="n">
        <v/>
      </c>
      <c r="C42" t="n">
        <v>50.0832139549934</v>
      </c>
      <c r="D42" t="n">
        <v>51.32202602</v>
      </c>
      <c r="E42" t="n">
        <v>1.238812065006606</v>
      </c>
    </row>
    <row r="43">
      <c r="A43" t="n">
        <v>2046</v>
      </c>
      <c r="B43" t="n">
        <v/>
      </c>
      <c r="C43" t="n">
        <v>50.9913926151613</v>
      </c>
      <c r="D43" t="n">
        <v>52.04553605</v>
      </c>
      <c r="E43" t="n">
        <v>1.0541434348387</v>
      </c>
    </row>
    <row r="44">
      <c r="A44" t="n">
        <v>2047</v>
      </c>
      <c r="B44" t="n">
        <v/>
      </c>
      <c r="C44" t="n">
        <v>51.91239467801621</v>
      </c>
      <c r="D44" t="n">
        <v>52.76300285</v>
      </c>
      <c r="E44" t="n">
        <v>0.8506081719837937</v>
      </c>
    </row>
    <row r="45">
      <c r="A45" t="n">
        <v>2048</v>
      </c>
      <c r="B45" t="n">
        <v/>
      </c>
      <c r="C45" t="n">
        <v>52.84638572930909</v>
      </c>
      <c r="D45" t="n">
        <v>53.47467845</v>
      </c>
      <c r="E45" t="n">
        <v>0.6282927206909079</v>
      </c>
    </row>
    <row r="46">
      <c r="A46" t="n">
        <v>2049</v>
      </c>
      <c r="B46" t="n">
        <v/>
      </c>
      <c r="C46" t="n">
        <v>53.79353338415319</v>
      </c>
      <c r="D46" t="n">
        <v>54.18131997</v>
      </c>
      <c r="E46" t="n">
        <v>0.3877865858468041</v>
      </c>
    </row>
    <row r="47">
      <c r="A47" t="n">
        <v>2050</v>
      </c>
      <c r="B47" t="n">
        <v/>
      </c>
      <c r="C47" t="n">
        <v/>
      </c>
      <c r="D47" t="n">
        <v>54.87679861</v>
      </c>
    </row>
    <row r="49">
      <c r="A49" t="inlineStr">
        <is>
          <t>Metriques (Julia vs Excel)</t>
        </is>
      </c>
    </row>
    <row r="50">
      <c r="A50" t="inlineStr">
        <is>
          <t>MAE</t>
        </is>
      </c>
      <c r="B50" t="n">
        <v>1.470283413186755</v>
      </c>
    </row>
    <row r="51">
      <c r="A51" t="inlineStr">
        <is>
          <t>RMSE</t>
        </is>
      </c>
      <c r="B51" t="n">
        <v>1.54229319891693</v>
      </c>
    </row>
    <row r="52">
      <c r="A52" t="inlineStr">
        <is>
          <t>MAPE (%)</t>
        </is>
      </c>
      <c r="B52" t="n">
        <v>3.528975079642692</v>
      </c>
    </row>
    <row r="53">
      <c r="A53" t="inlineStr">
        <is>
          <t>N (annees)</t>
        </is>
      </c>
      <c r="B53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Annee</t>
        </is>
      </c>
      <c r="B1" t="inlineStr">
        <is>
          <t>Historique</t>
        </is>
      </c>
      <c r="C1" t="inlineStr">
        <is>
          <t>Julia</t>
        </is>
      </c>
      <c r="D1" t="inlineStr">
        <is>
          <t>Excel</t>
        </is>
      </c>
      <c r="E1" t="inlineStr">
        <is>
          <t>abs_error</t>
        </is>
      </c>
    </row>
    <row r="2">
      <c r="A2" t="n">
        <v>2005</v>
      </c>
      <c r="B2" t="n">
        <v>20.885504</v>
      </c>
      <c r="C2" t="n">
        <v/>
      </c>
      <c r="D2" t="n">
        <v/>
      </c>
    </row>
    <row r="3">
      <c r="A3" t="n">
        <v>2006</v>
      </c>
      <c r="B3" t="n">
        <v>20.826152</v>
      </c>
      <c r="C3" t="n">
        <v/>
      </c>
      <c r="D3" t="n">
        <v>20.826152</v>
      </c>
    </row>
    <row r="4">
      <c r="A4" t="n">
        <v>2007</v>
      </c>
      <c r="B4" t="n">
        <v>21.926944</v>
      </c>
      <c r="C4" t="n">
        <v/>
      </c>
      <c r="D4" t="n">
        <v>21.926944</v>
      </c>
    </row>
    <row r="5">
      <c r="A5" t="n">
        <v>2008</v>
      </c>
      <c r="B5" t="n">
        <v>21.922236</v>
      </c>
      <c r="C5" t="n">
        <v/>
      </c>
      <c r="D5" t="n">
        <v>21.922236</v>
      </c>
    </row>
    <row r="6">
      <c r="A6" t="n">
        <v>2009</v>
      </c>
      <c r="B6" t="n">
        <v>22.651661</v>
      </c>
      <c r="C6" t="n">
        <v/>
      </c>
      <c r="D6" t="n">
        <v>22.651661</v>
      </c>
    </row>
    <row r="7">
      <c r="A7" t="n">
        <v>2010</v>
      </c>
      <c r="B7" t="n">
        <v>22.58783</v>
      </c>
      <c r="C7" t="n">
        <v/>
      </c>
      <c r="D7" t="n">
        <v>22.58783</v>
      </c>
    </row>
    <row r="8">
      <c r="A8" t="n">
        <v>2011</v>
      </c>
      <c r="B8" t="n">
        <v>23.808158</v>
      </c>
      <c r="C8" t="n">
        <v/>
      </c>
      <c r="D8" t="n">
        <v>23.808158</v>
      </c>
    </row>
    <row r="9">
      <c r="A9" t="n">
        <v>2012</v>
      </c>
      <c r="B9" t="n">
        <v>24.859235</v>
      </c>
      <c r="C9" t="n">
        <v/>
      </c>
      <c r="D9" t="n">
        <v>24.859235</v>
      </c>
    </row>
    <row r="10">
      <c r="A10" t="n">
        <v>2013</v>
      </c>
      <c r="B10" t="n">
        <v>25.46468</v>
      </c>
      <c r="C10" t="n">
        <v/>
      </c>
      <c r="D10" t="n">
        <v>25.46468</v>
      </c>
    </row>
    <row r="11">
      <c r="A11" t="n">
        <v>2014</v>
      </c>
      <c r="B11" t="n">
        <v>26.713817</v>
      </c>
      <c r="C11" t="n">
        <v/>
      </c>
      <c r="D11" t="n">
        <v>26.713817</v>
      </c>
    </row>
    <row r="12">
      <c r="A12" t="n">
        <v>2015</v>
      </c>
      <c r="B12" t="n">
        <v>27.877971</v>
      </c>
      <c r="C12" t="n">
        <v/>
      </c>
      <c r="D12" t="n">
        <v>27.877971</v>
      </c>
    </row>
    <row r="13">
      <c r="A13" t="n">
        <v>2016</v>
      </c>
      <c r="B13" t="n">
        <v>28.141409</v>
      </c>
      <c r="C13" t="n">
        <v/>
      </c>
      <c r="D13" t="n">
        <v>28.141409</v>
      </c>
    </row>
    <row r="14">
      <c r="A14" t="n">
        <v>2017</v>
      </c>
      <c r="B14" t="n">
        <v>29.411726</v>
      </c>
      <c r="C14" t="n">
        <v/>
      </c>
      <c r="D14" t="n">
        <v>29.411726</v>
      </c>
    </row>
    <row r="15">
      <c r="A15" t="n">
        <v>2018</v>
      </c>
      <c r="B15" t="n">
        <v/>
      </c>
      <c r="C15" t="n">
        <v>30.04585456353607</v>
      </c>
      <c r="D15" t="n">
        <v>30.65429391</v>
      </c>
      <c r="E15" t="n">
        <v>0.6084393464639319</v>
      </c>
    </row>
    <row r="16">
      <c r="A16" t="n">
        <v>2019</v>
      </c>
      <c r="B16" t="n">
        <v/>
      </c>
      <c r="C16" t="n">
        <v>31.49290772934775</v>
      </c>
      <c r="D16" t="n">
        <v>31.60830621</v>
      </c>
      <c r="E16" t="n">
        <v>0.115398480652253</v>
      </c>
    </row>
    <row r="17">
      <c r="A17" t="n">
        <v>2020</v>
      </c>
      <c r="B17" t="n">
        <v/>
      </c>
      <c r="C17" t="n">
        <v>32.93216745361023</v>
      </c>
      <c r="D17" t="n">
        <v>32.23938307</v>
      </c>
      <c r="E17" t="n">
        <v>0.6927843836102312</v>
      </c>
    </row>
    <row r="18">
      <c r="A18" t="n">
        <v>2021</v>
      </c>
      <c r="B18" t="n">
        <v/>
      </c>
      <c r="C18" t="n">
        <v>34.36398811206741</v>
      </c>
      <c r="D18" t="n">
        <v>32.95033848</v>
      </c>
      <c r="E18" t="n">
        <v>1.413649632067411</v>
      </c>
    </row>
    <row r="19">
      <c r="A19" t="n">
        <v>2022</v>
      </c>
      <c r="B19" t="n">
        <v/>
      </c>
      <c r="C19" t="n">
        <v>35.78871922984856</v>
      </c>
      <c r="D19" t="n">
        <v>33.75069178</v>
      </c>
      <c r="E19" t="n">
        <v>2.038027449848563</v>
      </c>
    </row>
    <row r="20">
      <c r="A20" t="n">
        <v>2023</v>
      </c>
      <c r="B20" t="n">
        <v/>
      </c>
      <c r="C20" t="n">
        <v>37.20670559595974</v>
      </c>
      <c r="D20" t="n">
        <v>34.58834549</v>
      </c>
      <c r="E20" t="n">
        <v>2.618360105959738</v>
      </c>
    </row>
    <row r="21">
      <c r="A21" t="n">
        <v>2024</v>
      </c>
      <c r="B21" t="n">
        <v/>
      </c>
      <c r="C21" t="n">
        <v>38.61828737575508</v>
      </c>
      <c r="D21" t="n">
        <v>35.4473926</v>
      </c>
      <c r="E21" t="n">
        <v>3.17089477575508</v>
      </c>
    </row>
    <row r="22">
      <c r="A22" t="n">
        <v>2025</v>
      </c>
      <c r="B22" t="n">
        <v/>
      </c>
      <c r="C22" t="n">
        <v>40.02380022142925</v>
      </c>
      <c r="D22" t="n">
        <v>36.32995333</v>
      </c>
      <c r="E22" t="n">
        <v>3.693846891429246</v>
      </c>
    </row>
    <row r="23">
      <c r="A23" t="n">
        <v>2026</v>
      </c>
      <c r="B23" t="n">
        <v/>
      </c>
      <c r="C23" t="n">
        <v>41.42357538057148</v>
      </c>
      <c r="D23" t="n">
        <v>37.23788935</v>
      </c>
      <c r="E23" t="n">
        <v>4.185686030571475</v>
      </c>
    </row>
    <row r="24">
      <c r="A24" t="n">
        <v>2027</v>
      </c>
      <c r="B24" t="n">
        <v/>
      </c>
      <c r="C24" t="n">
        <v>42.81793980282109</v>
      </c>
      <c r="D24" t="n">
        <v>38.17328702</v>
      </c>
      <c r="E24" t="n">
        <v>4.64465278282109</v>
      </c>
    </row>
    <row r="25">
      <c r="A25" t="n">
        <v>2028</v>
      </c>
      <c r="B25" t="n">
        <v/>
      </c>
      <c r="C25" t="n">
        <v>44.20721624466321</v>
      </c>
      <c r="D25" t="n">
        <v>39.13220196</v>
      </c>
      <c r="E25" t="n">
        <v>5.075014284663204</v>
      </c>
    </row>
    <row r="26">
      <c r="A26" t="n">
        <v>2029</v>
      </c>
      <c r="B26" t="n">
        <v/>
      </c>
      <c r="C26" t="n">
        <v>45.59172337240311</v>
      </c>
      <c r="D26" t="n">
        <v>40.110458</v>
      </c>
      <c r="E26" t="n">
        <v>5.481265372403108</v>
      </c>
    </row>
    <row r="27">
      <c r="A27" t="n">
        <v>2030</v>
      </c>
      <c r="B27" t="n">
        <v/>
      </c>
      <c r="C27" t="n">
        <v>46.97177586335645</v>
      </c>
      <c r="D27" t="n">
        <v>41.10877119</v>
      </c>
      <c r="E27" t="n">
        <v>5.86300467335645</v>
      </c>
    </row>
    <row r="28">
      <c r="A28" t="n">
        <v>2031</v>
      </c>
      <c r="B28" t="n">
        <v/>
      </c>
      <c r="C28" t="n">
        <v>48.34768450529255</v>
      </c>
      <c r="D28" t="n">
        <v>42.11138171</v>
      </c>
      <c r="E28" t="n">
        <v>6.236302795292545</v>
      </c>
    </row>
    <row r="29">
      <c r="A29" t="n">
        <v>2032</v>
      </c>
      <c r="B29" t="n">
        <v/>
      </c>
      <c r="C29" t="n">
        <v>49.71975629416639</v>
      </c>
      <c r="D29" t="n">
        <v>43.14087196</v>
      </c>
      <c r="E29" t="n">
        <v>6.578884334166389</v>
      </c>
    </row>
    <row r="30">
      <c r="A30" t="n">
        <v>2033</v>
      </c>
      <c r="B30" t="n">
        <v/>
      </c>
      <c r="C30" t="n">
        <v>51.0882945301752</v>
      </c>
      <c r="D30" t="n">
        <v>44.19566259</v>
      </c>
      <c r="E30" t="n">
        <v>6.8926319401752</v>
      </c>
    </row>
    <row r="31">
      <c r="A31" t="n">
        <v>2034</v>
      </c>
      <c r="B31" t="n">
        <v/>
      </c>
      <c r="C31" t="n">
        <v>52.45359891217383</v>
      </c>
      <c r="D31" t="n">
        <v>45.26195708</v>
      </c>
      <c r="E31" t="n">
        <v>7.191641832173829</v>
      </c>
    </row>
    <row r="32">
      <c r="A32" t="n">
        <v>2035</v>
      </c>
      <c r="B32" t="n">
        <v/>
      </c>
      <c r="C32" t="n">
        <v>53.8159656304838</v>
      </c>
      <c r="D32" t="n">
        <v>46.33633811</v>
      </c>
      <c r="E32" t="n">
        <v>7.479627520483803</v>
      </c>
    </row>
    <row r="33">
      <c r="A33" t="n">
        <v>2036</v>
      </c>
      <c r="B33" t="n">
        <v/>
      </c>
      <c r="C33" t="n">
        <v>55.1756874581285</v>
      </c>
      <c r="D33" t="n">
        <v>47.41501448</v>
      </c>
      <c r="E33" t="n">
        <v>7.760672978128497</v>
      </c>
    </row>
    <row r="34">
      <c r="A34" t="n">
        <v>2037</v>
      </c>
      <c r="B34" t="n">
        <v/>
      </c>
      <c r="C34" t="n">
        <v>56.53305384052854</v>
      </c>
      <c r="D34" t="n">
        <v>48.4992083</v>
      </c>
      <c r="E34" t="n">
        <v>8.033845540528539</v>
      </c>
    </row>
    <row r="35">
      <c r="A35" t="n">
        <v>2038</v>
      </c>
      <c r="B35" t="n">
        <v/>
      </c>
      <c r="C35" t="n">
        <v>57.88835098368811</v>
      </c>
      <c r="D35" t="n">
        <v>49.58841032</v>
      </c>
      <c r="E35" t="n">
        <v>8.299940663688105</v>
      </c>
    </row>
    <row r="36">
      <c r="A36" t="n">
        <v>2039</v>
      </c>
      <c r="B36" t="n">
        <v/>
      </c>
      <c r="C36" t="n">
        <v>59.24186194090541</v>
      </c>
      <c r="D36" t="n">
        <v>50.68168268</v>
      </c>
      <c r="E36" t="n">
        <v>8.560179260905407</v>
      </c>
    </row>
    <row r="37">
      <c r="A37" t="n">
        <v>2040</v>
      </c>
      <c r="B37" t="n">
        <v/>
      </c>
      <c r="C37" t="n">
        <v>60.59386669803702</v>
      </c>
      <c r="D37" t="n">
        <v>51.78236111</v>
      </c>
      <c r="E37" t="n">
        <v>8.811505588037022</v>
      </c>
    </row>
    <row r="38">
      <c r="A38" t="n">
        <v>2041</v>
      </c>
      <c r="B38" t="n">
        <v/>
      </c>
      <c r="C38" t="n">
        <v>61.94464225734726</v>
      </c>
      <c r="D38" t="n">
        <v>52.89006822</v>
      </c>
      <c r="E38" t="n">
        <v>9.054574037347258</v>
      </c>
    </row>
    <row r="39">
      <c r="A39" t="n">
        <v>2042</v>
      </c>
      <c r="B39" t="n">
        <v/>
      </c>
      <c r="C39" t="n">
        <v>63.29446271997237</v>
      </c>
      <c r="D39" t="n">
        <v>54.00041361</v>
      </c>
      <c r="E39" t="n">
        <v>9.29404910997237</v>
      </c>
    </row>
    <row r="40">
      <c r="A40" t="n">
        <v>2043</v>
      </c>
      <c r="B40" t="n">
        <v/>
      </c>
      <c r="C40" t="n">
        <v>64.64359936702854</v>
      </c>
      <c r="D40" t="n">
        <v>55.11313439</v>
      </c>
      <c r="E40" t="n">
        <v>9.530464977028544</v>
      </c>
    </row>
    <row r="41">
      <c r="A41" t="n">
        <v>2044</v>
      </c>
      <c r="B41" t="n">
        <v/>
      </c>
      <c r="C41" t="n">
        <v>65.99232073939299</v>
      </c>
      <c r="D41" t="n">
        <v>56.2275585</v>
      </c>
      <c r="E41" t="n">
        <v>9.764762239392994</v>
      </c>
    </row>
    <row r="42">
      <c r="A42" t="n">
        <v>2045</v>
      </c>
      <c r="B42" t="n">
        <v/>
      </c>
      <c r="C42" t="n">
        <v>67.3408927161861</v>
      </c>
      <c r="D42" t="n">
        <v>57.34412373</v>
      </c>
      <c r="E42" t="n">
        <v>9.996768986186105</v>
      </c>
    </row>
    <row r="43">
      <c r="A43" t="n">
        <v>2046</v>
      </c>
      <c r="B43" t="n">
        <v/>
      </c>
      <c r="C43" t="n">
        <v>68.68957859198208</v>
      </c>
      <c r="D43" t="n">
        <v>58.46367146</v>
      </c>
      <c r="E43" t="n">
        <v>10.22590713198208</v>
      </c>
    </row>
    <row r="44">
      <c r="A44" t="n">
        <v>2047</v>
      </c>
      <c r="B44" t="n">
        <v/>
      </c>
      <c r="C44" t="n">
        <v>70.03863915277616</v>
      </c>
      <c r="D44" t="n">
        <v>59.58517239</v>
      </c>
      <c r="E44" t="n">
        <v>10.45346676277616</v>
      </c>
    </row>
    <row r="45">
      <c r="A45" t="n">
        <v>2048</v>
      </c>
      <c r="B45" t="n">
        <v/>
      </c>
      <c r="C45" t="n">
        <v>71.38833275073398</v>
      </c>
      <c r="D45" t="n">
        <v>60.7082879</v>
      </c>
      <c r="E45" t="n">
        <v>10.68004485073398</v>
      </c>
    </row>
    <row r="46">
      <c r="A46" t="n">
        <v>2049</v>
      </c>
      <c r="B46" t="n">
        <v/>
      </c>
      <c r="C46" t="n">
        <v/>
      </c>
      <c r="D46" t="n">
        <v>61.83352067</v>
      </c>
    </row>
    <row r="47">
      <c r="A47" t="n">
        <v>2050</v>
      </c>
      <c r="B47" t="n">
        <v/>
      </c>
      <c r="C47" t="n">
        <v/>
      </c>
      <c r="D47" t="n">
        <v>62.96518585</v>
      </c>
    </row>
    <row r="49">
      <c r="A49" t="inlineStr">
        <is>
          <t>Metriques (Julia vs Excel)</t>
        </is>
      </c>
    </row>
    <row r="50">
      <c r="A50" t="inlineStr">
        <is>
          <t>MAE</t>
        </is>
      </c>
      <c r="B50" t="n">
        <v>6.27246112124518</v>
      </c>
    </row>
    <row r="51">
      <c r="A51" t="inlineStr">
        <is>
          <t>RMSE</t>
        </is>
      </c>
      <c r="B51" t="n">
        <v>7.027941888388948</v>
      </c>
    </row>
    <row r="52">
      <c r="A52" t="inlineStr">
        <is>
          <t>MAPE (%)</t>
        </is>
      </c>
      <c r="B52" t="n">
        <v>13.10085875806009</v>
      </c>
    </row>
    <row r="53">
      <c r="A53" t="inlineStr">
        <is>
          <t>N (annees)</t>
        </is>
      </c>
      <c r="B53" t="n">
        <v>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Annee</t>
        </is>
      </c>
      <c r="B1" t="inlineStr">
        <is>
          <t>Historique</t>
        </is>
      </c>
      <c r="C1" t="inlineStr">
        <is>
          <t>Julia</t>
        </is>
      </c>
      <c r="D1" t="inlineStr">
        <is>
          <t>Excel</t>
        </is>
      </c>
      <c r="E1" t="inlineStr">
        <is>
          <t>abs_error</t>
        </is>
      </c>
    </row>
    <row r="2">
      <c r="A2" t="n">
        <v>2005</v>
      </c>
      <c r="B2" t="n">
        <v>20.885504</v>
      </c>
      <c r="C2" t="n">
        <v/>
      </c>
      <c r="D2" t="n">
        <v/>
      </c>
    </row>
    <row r="3">
      <c r="A3" t="n">
        <v>2006</v>
      </c>
      <c r="B3" t="n">
        <v>20.826152</v>
      </c>
      <c r="C3" t="n">
        <v/>
      </c>
      <c r="D3" t="n">
        <v>20.826152</v>
      </c>
    </row>
    <row r="4">
      <c r="A4" t="n">
        <v>2007</v>
      </c>
      <c r="B4" t="n">
        <v>21.926944</v>
      </c>
      <c r="C4" t="n">
        <v/>
      </c>
      <c r="D4" t="n">
        <v>21.926944</v>
      </c>
    </row>
    <row r="5">
      <c r="A5" t="n">
        <v>2008</v>
      </c>
      <c r="B5" t="n">
        <v>21.922236</v>
      </c>
      <c r="C5" t="n">
        <v/>
      </c>
      <c r="D5" t="n">
        <v>21.922236</v>
      </c>
    </row>
    <row r="6">
      <c r="A6" t="n">
        <v>2009</v>
      </c>
      <c r="B6" t="n">
        <v>22.651661</v>
      </c>
      <c r="C6" t="n">
        <v/>
      </c>
      <c r="D6" t="n">
        <v>22.651661</v>
      </c>
    </row>
    <row r="7">
      <c r="A7" t="n">
        <v>2010</v>
      </c>
      <c r="B7" t="n">
        <v>22.58783</v>
      </c>
      <c r="C7" t="n">
        <v/>
      </c>
      <c r="D7" t="n">
        <v>22.58783</v>
      </c>
    </row>
    <row r="8">
      <c r="A8" t="n">
        <v>2011</v>
      </c>
      <c r="B8" t="n">
        <v>23.808158</v>
      </c>
      <c r="C8" t="n">
        <v/>
      </c>
      <c r="D8" t="n">
        <v>23.808158</v>
      </c>
    </row>
    <row r="9">
      <c r="A9" t="n">
        <v>2012</v>
      </c>
      <c r="B9" t="n">
        <v>24.859235</v>
      </c>
      <c r="C9" t="n">
        <v/>
      </c>
      <c r="D9" t="n">
        <v>24.859235</v>
      </c>
    </row>
    <row r="10">
      <c r="A10" t="n">
        <v>2013</v>
      </c>
      <c r="B10" t="n">
        <v>25.46468</v>
      </c>
      <c r="C10" t="n">
        <v/>
      </c>
      <c r="D10" t="n">
        <v>25.46468</v>
      </c>
    </row>
    <row r="11">
      <c r="A11" t="n">
        <v>2014</v>
      </c>
      <c r="B11" t="n">
        <v>26.713817</v>
      </c>
      <c r="C11" t="n">
        <v/>
      </c>
      <c r="D11" t="n">
        <v>26.713817</v>
      </c>
    </row>
    <row r="12">
      <c r="A12" t="n">
        <v>2015</v>
      </c>
      <c r="B12" t="n">
        <v>27.877971</v>
      </c>
      <c r="C12" t="n">
        <v/>
      </c>
      <c r="D12" t="n">
        <v>27.877971</v>
      </c>
    </row>
    <row r="13">
      <c r="A13" t="n">
        <v>2016</v>
      </c>
      <c r="B13" t="n">
        <v>28.141409</v>
      </c>
      <c r="C13" t="n">
        <v/>
      </c>
      <c r="D13" t="n">
        <v>28.141409</v>
      </c>
    </row>
    <row r="14">
      <c r="A14" t="n">
        <v>2017</v>
      </c>
      <c r="B14" t="n">
        <v>29.411726</v>
      </c>
      <c r="C14" t="n">
        <v/>
      </c>
      <c r="D14" t="n">
        <v>29.411726</v>
      </c>
    </row>
    <row r="15">
      <c r="A15" t="n">
        <v>2018</v>
      </c>
      <c r="B15" t="n">
        <v/>
      </c>
      <c r="C15" t="n">
        <v>31.21081780787464</v>
      </c>
      <c r="D15" t="n">
        <v>30.65429391</v>
      </c>
      <c r="E15" t="n">
        <v>0.5565238978746407</v>
      </c>
    </row>
    <row r="16">
      <c r="A16" t="n">
        <v>2019</v>
      </c>
      <c r="B16" t="n">
        <v/>
      </c>
      <c r="C16" t="n">
        <v>33.07607713058012</v>
      </c>
      <c r="D16" t="n">
        <v>31.60830621</v>
      </c>
      <c r="E16" t="n">
        <v>1.467770920580119</v>
      </c>
    </row>
    <row r="17">
      <c r="A17" t="n">
        <v>2020</v>
      </c>
      <c r="B17" t="n">
        <v/>
      </c>
      <c r="C17" t="n">
        <v>35.00667166461876</v>
      </c>
      <c r="D17" t="n">
        <v>32.23938307</v>
      </c>
      <c r="E17" t="n">
        <v>2.767288594618755</v>
      </c>
    </row>
    <row r="18">
      <c r="A18" t="n">
        <v>2021</v>
      </c>
      <c r="B18" t="n">
        <v/>
      </c>
      <c r="C18" t="n">
        <v>37.00155273642787</v>
      </c>
      <c r="D18" t="n">
        <v>32.95033848</v>
      </c>
      <c r="E18" t="n">
        <v>4.051214256427869</v>
      </c>
    </row>
    <row r="19">
      <c r="A19" t="n">
        <v>2022</v>
      </c>
      <c r="B19" t="n">
        <v/>
      </c>
      <c r="C19" t="n">
        <v>39.05946275006801</v>
      </c>
      <c r="D19" t="n">
        <v>33.75069178</v>
      </c>
      <c r="E19" t="n">
        <v>5.308770970068011</v>
      </c>
    </row>
    <row r="20">
      <c r="A20" t="n">
        <v>2023</v>
      </c>
      <c r="B20" t="n">
        <v/>
      </c>
      <c r="C20" t="n">
        <v>41.1789448410276</v>
      </c>
      <c r="D20" t="n">
        <v>34.58834549</v>
      </c>
      <c r="E20" t="n">
        <v>6.590599351027599</v>
      </c>
    </row>
    <row r="21">
      <c r="A21" t="n">
        <v>2024</v>
      </c>
      <c r="B21" t="n">
        <v/>
      </c>
      <c r="C21" t="n">
        <v>43.35835459115657</v>
      </c>
      <c r="D21" t="n">
        <v>35.4473926</v>
      </c>
      <c r="E21" t="n">
        <v>7.910961991156569</v>
      </c>
    </row>
    <row r="22">
      <c r="A22" t="n">
        <v>2025</v>
      </c>
      <c r="B22" t="n">
        <v/>
      </c>
      <c r="C22" t="n">
        <v>45.59587362044322</v>
      </c>
      <c r="D22" t="n">
        <v>36.32995333</v>
      </c>
      <c r="E22" t="n">
        <v>9.265920290443219</v>
      </c>
    </row>
    <row r="23">
      <c r="A23" t="n">
        <v>2026</v>
      </c>
      <c r="B23" t="n">
        <v/>
      </c>
      <c r="C23" t="n">
        <v>47.88952483698531</v>
      </c>
      <c r="D23" t="n">
        <v>37.23788935</v>
      </c>
      <c r="E23" t="n">
        <v>10.65163548698531</v>
      </c>
    </row>
    <row r="24">
      <c r="A24" t="n">
        <v>2027</v>
      </c>
      <c r="B24" t="n">
        <v/>
      </c>
      <c r="C24" t="n">
        <v>50.23718909808013</v>
      </c>
      <c r="D24" t="n">
        <v>38.17328702</v>
      </c>
      <c r="E24" t="n">
        <v>12.06390207808013</v>
      </c>
    </row>
    <row r="25">
      <c r="A25" t="n">
        <v>2028</v>
      </c>
      <c r="B25" t="n">
        <v/>
      </c>
      <c r="C25" t="n">
        <v>52.63662301361759</v>
      </c>
      <c r="D25" t="n">
        <v>39.13220196</v>
      </c>
      <c r="E25" t="n">
        <v>13.50442105361758</v>
      </c>
    </row>
    <row r="26">
      <c r="A26" t="n">
        <v>2029</v>
      </c>
      <c r="B26" t="n">
        <v/>
      </c>
      <c r="C26" t="n">
        <v>55.08547760839829</v>
      </c>
      <c r="D26" t="n">
        <v>40.110458</v>
      </c>
      <c r="E26" t="n">
        <v>14.97501960839829</v>
      </c>
    </row>
    <row r="27">
      <c r="A27" t="n">
        <v>2030</v>
      </c>
      <c r="B27" t="n">
        <v/>
      </c>
      <c r="C27" t="n">
        <v>57.58131755281119</v>
      </c>
      <c r="D27" t="n">
        <v>41.10877119</v>
      </c>
      <c r="E27" t="n">
        <v>16.47254636281119</v>
      </c>
    </row>
    <row r="28">
      <c r="A28" t="n">
        <v>2031</v>
      </c>
      <c r="B28" t="n">
        <v/>
      </c>
      <c r="C28" t="n">
        <v>60.12164067142034</v>
      </c>
      <c r="D28" t="n">
        <v>42.11138171</v>
      </c>
      <c r="E28" t="n">
        <v>18.01025896142033</v>
      </c>
    </row>
    <row r="29">
      <c r="A29" t="n">
        <v>2032</v>
      </c>
      <c r="B29" t="n">
        <v/>
      </c>
      <c r="C29" t="n">
        <v>62.70389744608456</v>
      </c>
      <c r="D29" t="n">
        <v>43.14087196</v>
      </c>
      <c r="E29" t="n">
        <v>19.56302548608456</v>
      </c>
    </row>
    <row r="30">
      <c r="A30" t="n">
        <v>2033</v>
      </c>
      <c r="B30" t="n">
        <v/>
      </c>
      <c r="C30" t="n">
        <v>65.32551024368996</v>
      </c>
      <c r="D30" t="n">
        <v>44.19566259</v>
      </c>
      <c r="E30" t="n">
        <v>21.12984765368996</v>
      </c>
    </row>
    <row r="31">
      <c r="A31" t="n">
        <v>2034</v>
      </c>
      <c r="B31" t="n">
        <v/>
      </c>
      <c r="C31" t="n">
        <v>67.98389201764719</v>
      </c>
      <c r="D31" t="n">
        <v>45.26195708</v>
      </c>
      <c r="E31" t="n">
        <v>22.72193493764719</v>
      </c>
    </row>
    <row r="32">
      <c r="A32" t="n">
        <v>2035</v>
      </c>
      <c r="B32" t="n">
        <v/>
      </c>
      <c r="C32" t="n">
        <v>70.67646425607099</v>
      </c>
      <c r="D32" t="n">
        <v>46.33633811</v>
      </c>
      <c r="E32" t="n">
        <v>24.34012614607099</v>
      </c>
    </row>
    <row r="33">
      <c r="A33" t="n">
        <v>2036</v>
      </c>
      <c r="B33" t="n">
        <v/>
      </c>
      <c r="C33" t="n">
        <v>73.40067397700263</v>
      </c>
      <c r="D33" t="n">
        <v>47.41501448</v>
      </c>
      <c r="E33" t="n">
        <v>25.98565949700262</v>
      </c>
    </row>
    <row r="34">
      <c r="A34" t="n">
        <v>2037</v>
      </c>
      <c r="B34" t="n">
        <v/>
      </c>
      <c r="C34" t="n">
        <v>76.15400960109838</v>
      </c>
      <c r="D34" t="n">
        <v>48.4992083</v>
      </c>
      <c r="E34" t="n">
        <v>27.65480130109838</v>
      </c>
    </row>
    <row r="35">
      <c r="A35" t="n">
        <v>2038</v>
      </c>
      <c r="B35" t="n">
        <v/>
      </c>
      <c r="C35" t="n">
        <v>78.93401556381279</v>
      </c>
      <c r="D35" t="n">
        <v>49.58841032</v>
      </c>
      <c r="E35" t="n">
        <v>29.34560524381279</v>
      </c>
    </row>
    <row r="36">
      <c r="A36" t="n">
        <v>2039</v>
      </c>
      <c r="B36" t="n">
        <v/>
      </c>
      <c r="C36" t="n">
        <v>81.73830556125658</v>
      </c>
      <c r="D36" t="n">
        <v>50.68168268</v>
      </c>
      <c r="E36" t="n">
        <v>31.05662288125658</v>
      </c>
    </row>
    <row r="37">
      <c r="A37" t="n">
        <v>2040</v>
      </c>
      <c r="B37" t="n">
        <v/>
      </c>
      <c r="C37" t="n">
        <v>84.56457435564735</v>
      </c>
      <c r="D37" t="n">
        <v>51.78236111</v>
      </c>
      <c r="E37" t="n">
        <v>32.78221324564736</v>
      </c>
    </row>
    <row r="38">
      <c r="A38" t="n">
        <v>2041</v>
      </c>
      <c r="B38" t="n">
        <v/>
      </c>
      <c r="C38" t="n">
        <v>87.41060809678646</v>
      </c>
      <c r="D38" t="n">
        <v>52.89006822</v>
      </c>
      <c r="E38" t="n">
        <v>34.52053987678646</v>
      </c>
    </row>
    <row r="39">
      <c r="A39" t="n">
        <v>2042</v>
      </c>
      <c r="B39" t="n">
        <v/>
      </c>
      <c r="C39" t="n">
        <v>90.27429314458313</v>
      </c>
      <c r="D39" t="n">
        <v>54.00041361</v>
      </c>
      <c r="E39" t="n">
        <v>36.27387953458312</v>
      </c>
    </row>
    <row r="40">
      <c r="A40" t="n">
        <v>2043</v>
      </c>
      <c r="B40" t="n">
        <v/>
      </c>
      <c r="C40" t="n">
        <v>93.15362340374858</v>
      </c>
      <c r="D40" t="n">
        <v>55.11313439</v>
      </c>
      <c r="E40" t="n">
        <v>38.04048901374858</v>
      </c>
    </row>
    <row r="41">
      <c r="A41" t="n">
        <v>2044</v>
      </c>
      <c r="B41" t="n">
        <v/>
      </c>
      <c r="C41" t="n">
        <v>96.04670620500184</v>
      </c>
      <c r="D41" t="n">
        <v>56.2275585</v>
      </c>
      <c r="E41" t="n">
        <v>39.81914770500184</v>
      </c>
    </row>
    <row r="42">
      <c r="A42" t="n">
        <v>2045</v>
      </c>
      <c r="B42" t="n">
        <v/>
      </c>
      <c r="C42" t="n">
        <v>98.95176678717588</v>
      </c>
      <c r="D42" t="n">
        <v>57.34412373</v>
      </c>
      <c r="E42" t="n">
        <v>41.60764305717588</v>
      </c>
    </row>
    <row r="43">
      <c r="A43" t="n">
        <v>2046</v>
      </c>
      <c r="B43" t="n">
        <v/>
      </c>
      <c r="C43" t="n">
        <v>101.8671514513722</v>
      </c>
      <c r="D43" t="n">
        <v>58.46367146</v>
      </c>
      <c r="E43" t="n">
        <v>43.40347999137224</v>
      </c>
    </row>
    <row r="44">
      <c r="A44" t="n">
        <v>2047</v>
      </c>
      <c r="B44" t="n">
        <v/>
      </c>
      <c r="C44" t="n">
        <v>104.7913294717545</v>
      </c>
      <c r="D44" t="n">
        <v>59.58517239</v>
      </c>
      <c r="E44" t="n">
        <v>45.20615708175448</v>
      </c>
    </row>
    <row r="45">
      <c r="A45" t="n">
        <v>2048</v>
      </c>
      <c r="B45" t="n">
        <v/>
      </c>
      <c r="C45" t="n">
        <v>107.7228938577835</v>
      </c>
      <c r="D45" t="n">
        <v>60.7082879</v>
      </c>
      <c r="E45" t="n">
        <v>47.01460595778347</v>
      </c>
    </row>
    <row r="46">
      <c r="A46" t="n">
        <v>2049</v>
      </c>
      <c r="B46" t="n">
        <v/>
      </c>
      <c r="C46" t="n">
        <v/>
      </c>
      <c r="D46" t="n">
        <v>61.83352067</v>
      </c>
    </row>
    <row r="47">
      <c r="A47" t="n">
        <v>2050</v>
      </c>
      <c r="B47" t="n">
        <v/>
      </c>
      <c r="C47" t="n">
        <v/>
      </c>
      <c r="D47" t="n">
        <v>62.96518585</v>
      </c>
    </row>
    <row r="49">
      <c r="A49" t="inlineStr">
        <is>
          <t>Metriques (Julia vs Excel)</t>
        </is>
      </c>
    </row>
    <row r="50">
      <c r="A50" t="inlineStr">
        <is>
          <t>MAE</t>
        </is>
      </c>
      <c r="B50" t="n">
        <v>22.06653588496859</v>
      </c>
    </row>
    <row r="51">
      <c r="A51" t="inlineStr">
        <is>
          <t>RMSE</t>
        </is>
      </c>
      <c r="B51" t="n">
        <v>26.14806593618255</v>
      </c>
    </row>
    <row r="52">
      <c r="A52" t="inlineStr">
        <is>
          <t>MAPE (%)</t>
        </is>
      </c>
      <c r="B52" t="n">
        <v>44.79684552180488</v>
      </c>
    </row>
    <row r="53">
      <c r="A53" t="inlineStr">
        <is>
          <t>N (annees)</t>
        </is>
      </c>
      <c r="B53" t="n">
        <v>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2026-07-01T11:05:35Z</dcterms:created>
  <dcterms:modified xmlns:dcterms="http://purl.org/dc/terms/" xmlns:xsi="http://www.w3.org/2001/XMLSchema-instance" xsi:type="dcterms:W3CDTF">2026-07-01T11:05:35Z</dcterms:modified>
</cp:coreProperties>
</file>